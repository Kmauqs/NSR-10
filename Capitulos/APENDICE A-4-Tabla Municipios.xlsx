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v\NSR-10\Capitulos\"/>
    </mc:Choice>
  </mc:AlternateContent>
  <xr:revisionPtr revIDLastSave="0" documentId="13_ncr:1_{79C0407F-6EF1-4CC0-A694-B97ADE2B1C1C}" xr6:coauthVersionLast="47" xr6:coauthVersionMax="47" xr10:uidLastSave="{00000000-0000-0000-0000-000000000000}"/>
  <bookViews>
    <workbookView xWindow="-120" yWindow="-120" windowWidth="21840" windowHeight="13020" xr2:uid="{12BF304A-4D71-42C4-ABF0-AA4BA6655E39}"/>
  </bookViews>
  <sheets>
    <sheet name="BD_Municipios" sheetId="1" r:id="rId1"/>
  </sheets>
  <definedNames>
    <definedName name="Amazonas">BD_Municipios!$A$3:$A$13</definedName>
    <definedName name="Antioquia">BD_Municipios!$A$15:$A$139</definedName>
    <definedName name="Arauca">BD_Municipios!$A$141:$A$147</definedName>
    <definedName name="Atlántico">BD_Municipios!$A$152:$A$174</definedName>
    <definedName name="Bolívar">BD_Municipios!$A$176:$A$220</definedName>
    <definedName name="Boyacá">BD_Municipios!$A$222:$A$344</definedName>
    <definedName name="Caldas">BD_Municipios!$A$346:$A$372</definedName>
    <definedName name="Caquetá">BD_Municipios!$A$374:$A$389</definedName>
    <definedName name="Casanare">BD_Municipios!$A$391:$A$409</definedName>
    <definedName name="Cauca">BD_Municipios!$A$411:$A$451</definedName>
    <definedName name="Cesar">BD_Municipios!$A$453:$A$477</definedName>
    <definedName name="Chocó">BD_Municipios!$A$479:$A$509</definedName>
    <definedName name="Córdoba">BD_Municipios!$A$511:$A$538</definedName>
    <definedName name="Cundinamarca">BD_Municipios!$A$540:$A$656</definedName>
    <definedName name="Departamento">BD_Municipios!$L$2:$L$34</definedName>
    <definedName name="Distrito">BD_Municipios!$A$658</definedName>
    <definedName name="Guainía">BD_Municipios!$A$660:$A$668</definedName>
    <definedName name="Guaviare">BD_Municipios!$A$686:$A$689</definedName>
    <definedName name="Huila">BD_Municipios!$A$691:$A$727</definedName>
    <definedName name="La_Guajira">BD_Municipios!$A$670:$A$684</definedName>
    <definedName name="Magdalena">BD_Municipios!$A$729:$A$758</definedName>
    <definedName name="Meta">BD_Municipios!$A$760:$A$788</definedName>
    <definedName name="Nariño">BD_Municipios!$A$790:$A$852</definedName>
    <definedName name="Norte_De_Santander">BD_Municipios!$A$854:$A$893</definedName>
    <definedName name="Putumayo">BD_Municipios!$A$895:$A$907</definedName>
    <definedName name="Quindío">BD_Municipios!$A$909:$A$920</definedName>
    <definedName name="Risaralda">BD_Municipios!$A$922:$A$935</definedName>
    <definedName name="San_Andrés">BD_Municipios!$A$149:$A$150</definedName>
    <definedName name="Santander">BD_Municipios!$A$937:$A$1023</definedName>
    <definedName name="Sucre">BD_Municipios!$A$1025:$A$1049</definedName>
    <definedName name="Tolima">BD_Municipios!$A$1051:$A$1097</definedName>
    <definedName name="Valle">BD_Municipios!$A$1099:$A$1140</definedName>
    <definedName name="Vaupés">BD_Municipios!$A$1142:$A$1147</definedName>
    <definedName name="Vichada">BD_Municipios!$A$1149:$A$1152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1152" i="1" l="1"/>
  <c r="B1151" i="1"/>
  <c r="B1150" i="1"/>
  <c r="B1149" i="1"/>
  <c r="B1148" i="1"/>
  <c r="D1148" i="1" s="1"/>
  <c r="B1147" i="1"/>
  <c r="B1146" i="1"/>
  <c r="B1145" i="1"/>
  <c r="B1144" i="1"/>
  <c r="B1143" i="1"/>
  <c r="B1142" i="1"/>
  <c r="D1141" i="1"/>
  <c r="B1141" i="1"/>
  <c r="C1141" i="1" s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D1098" i="1" s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D1050" i="1" s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C1024" i="1"/>
  <c r="C1025" i="1" s="1"/>
  <c r="D1025" i="1" s="1"/>
  <c r="B1024" i="1"/>
  <c r="D1024" i="1" s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C937" i="1" s="1"/>
  <c r="D937" i="1" s="1"/>
  <c r="D936" i="1"/>
  <c r="C936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D921" i="1"/>
  <c r="B921" i="1"/>
  <c r="C921" i="1" s="1"/>
  <c r="B920" i="1"/>
  <c r="B919" i="1"/>
  <c r="B918" i="1"/>
  <c r="B917" i="1"/>
  <c r="B916" i="1"/>
  <c r="B915" i="1"/>
  <c r="B914" i="1"/>
  <c r="B913" i="1"/>
  <c r="B912" i="1"/>
  <c r="B911" i="1"/>
  <c r="B910" i="1"/>
  <c r="B909" i="1"/>
  <c r="C909" i="1" s="1"/>
  <c r="D908" i="1"/>
  <c r="B908" i="1"/>
  <c r="C908" i="1" s="1"/>
  <c r="B907" i="1"/>
  <c r="B906" i="1"/>
  <c r="B905" i="1"/>
  <c r="B904" i="1"/>
  <c r="B903" i="1"/>
  <c r="B902" i="1"/>
  <c r="B901" i="1"/>
  <c r="B900" i="1"/>
  <c r="B899" i="1"/>
  <c r="B898" i="1"/>
  <c r="B897" i="1"/>
  <c r="B896" i="1"/>
  <c r="D895" i="1"/>
  <c r="C895" i="1"/>
  <c r="C896" i="1" s="1"/>
  <c r="C897" i="1" s="1"/>
  <c r="D897" i="1" s="1"/>
  <c r="B895" i="1"/>
  <c r="D894" i="1"/>
  <c r="C894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D853" i="1"/>
  <c r="B853" i="1"/>
  <c r="C853" i="1" s="1"/>
  <c r="C854" i="1" s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D789" i="1"/>
  <c r="B789" i="1"/>
  <c r="C789" i="1" s="1"/>
  <c r="C790" i="1" s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C761" i="1" s="1"/>
  <c r="D761" i="1" s="1"/>
  <c r="B760" i="1"/>
  <c r="C759" i="1"/>
  <c r="C760" i="1" s="1"/>
  <c r="D760" i="1" s="1"/>
  <c r="B759" i="1"/>
  <c r="D759" i="1" s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C729" i="1" s="1"/>
  <c r="D729" i="1" s="1"/>
  <c r="D728" i="1"/>
  <c r="C728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D690" i="1" s="1"/>
  <c r="B689" i="1"/>
  <c r="B688" i="1"/>
  <c r="B687" i="1"/>
  <c r="B686" i="1"/>
  <c r="D685" i="1"/>
  <c r="B685" i="1"/>
  <c r="C685" i="1" s="1"/>
  <c r="C686" i="1" s="1"/>
  <c r="D686" i="1" s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D669" i="1"/>
  <c r="B669" i="1"/>
  <c r="C669" i="1" s="1"/>
  <c r="C670" i="1" s="1"/>
  <c r="D670" i="1" s="1"/>
  <c r="B668" i="1"/>
  <c r="B667" i="1"/>
  <c r="B666" i="1"/>
  <c r="B665" i="1"/>
  <c r="B664" i="1"/>
  <c r="B663" i="1"/>
  <c r="B662" i="1"/>
  <c r="B661" i="1"/>
  <c r="B660" i="1"/>
  <c r="B659" i="1"/>
  <c r="B658" i="1"/>
  <c r="D657" i="1"/>
  <c r="C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D539" i="1"/>
  <c r="C539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C510" i="1"/>
  <c r="B510" i="1"/>
  <c r="D510" i="1" s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D478" i="1"/>
  <c r="C478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D452" i="1"/>
  <c r="C452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D410" i="1" s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D390" i="1" s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D345" i="1"/>
  <c r="B345" i="1"/>
  <c r="C345" i="1" s="1"/>
  <c r="C346" i="1" s="1"/>
  <c r="D346" i="1" s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D221" i="1" s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D175" i="1" s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D151" i="1"/>
  <c r="B151" i="1"/>
  <c r="C151" i="1" s="1"/>
  <c r="C152" i="1" s="1"/>
  <c r="D152" i="1" s="1"/>
  <c r="B150" i="1"/>
  <c r="B149" i="1"/>
  <c r="D148" i="1"/>
  <c r="C148" i="1"/>
  <c r="B147" i="1"/>
  <c r="B146" i="1"/>
  <c r="B145" i="1"/>
  <c r="B144" i="1"/>
  <c r="B143" i="1"/>
  <c r="B142" i="1"/>
  <c r="B141" i="1"/>
  <c r="D140" i="1"/>
  <c r="B140" i="1"/>
  <c r="C140" i="1" s="1"/>
  <c r="C141" i="1" s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D14" i="1"/>
  <c r="C14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D2" i="1" s="1"/>
  <c r="C142" i="1" l="1"/>
  <c r="D141" i="1"/>
  <c r="C347" i="1"/>
  <c r="D347" i="1" s="1"/>
  <c r="D149" i="1"/>
  <c r="D15" i="1"/>
  <c r="D142" i="1"/>
  <c r="D483" i="1"/>
  <c r="C2" i="1"/>
  <c r="C3" i="1" s="1"/>
  <c r="C4" i="1" s="1"/>
  <c r="D143" i="1"/>
  <c r="C511" i="1"/>
  <c r="D511" i="1" s="1"/>
  <c r="C540" i="1"/>
  <c r="C541" i="1" s="1"/>
  <c r="C479" i="1"/>
  <c r="D479" i="1" s="1"/>
  <c r="C153" i="1"/>
  <c r="C154" i="1" s="1"/>
  <c r="D154" i="1" s="1"/>
  <c r="C480" i="1"/>
  <c r="C481" i="1" s="1"/>
  <c r="D481" i="1" s="1"/>
  <c r="C348" i="1"/>
  <c r="C349" i="1" s="1"/>
  <c r="C390" i="1"/>
  <c r="C410" i="1"/>
  <c r="C411" i="1" s="1"/>
  <c r="D411" i="1" s="1"/>
  <c r="C175" i="1"/>
  <c r="C15" i="1"/>
  <c r="C16" i="1" s="1"/>
  <c r="C143" i="1"/>
  <c r="C144" i="1" s="1"/>
  <c r="C149" i="1"/>
  <c r="C150" i="1" s="1"/>
  <c r="D150" i="1" s="1"/>
  <c r="C221" i="1"/>
  <c r="C222" i="1" s="1"/>
  <c r="D222" i="1" s="1"/>
  <c r="C391" i="1"/>
  <c r="D391" i="1" s="1"/>
  <c r="C453" i="1"/>
  <c r="D453" i="1" s="1"/>
  <c r="C482" i="1"/>
  <c r="D482" i="1" s="1"/>
  <c r="C176" i="1"/>
  <c r="C177" i="1" s="1"/>
  <c r="D373" i="1"/>
  <c r="C373" i="1"/>
  <c r="C374" i="1" s="1"/>
  <c r="C412" i="1"/>
  <c r="C413" i="1" s="1"/>
  <c r="C414" i="1" s="1"/>
  <c r="C454" i="1"/>
  <c r="D454" i="1" s="1"/>
  <c r="C392" i="1"/>
  <c r="C483" i="1"/>
  <c r="C484" i="1" s="1"/>
  <c r="C485" i="1" s="1"/>
  <c r="D484" i="1"/>
  <c r="C855" i="1"/>
  <c r="C856" i="1" s="1"/>
  <c r="D856" i="1" s="1"/>
  <c r="D854" i="1"/>
  <c r="C910" i="1"/>
  <c r="D909" i="1"/>
  <c r="D898" i="1"/>
  <c r="D762" i="1"/>
  <c r="C762" i="1"/>
  <c r="D855" i="1"/>
  <c r="C922" i="1"/>
  <c r="C763" i="1"/>
  <c r="C764" i="1" s="1"/>
  <c r="D763" i="1"/>
  <c r="C1142" i="1"/>
  <c r="D1142" i="1" s="1"/>
  <c r="C1050" i="1"/>
  <c r="C1051" i="1" s="1"/>
  <c r="C1052" i="1" s="1"/>
  <c r="D1143" i="1"/>
  <c r="C730" i="1"/>
  <c r="D658" i="1"/>
  <c r="C658" i="1"/>
  <c r="C1098" i="1"/>
  <c r="C1145" i="1"/>
  <c r="D659" i="1"/>
  <c r="C659" i="1"/>
  <c r="C660" i="1" s="1"/>
  <c r="D660" i="1" s="1"/>
  <c r="C687" i="1"/>
  <c r="C791" i="1"/>
  <c r="C792" i="1" s="1"/>
  <c r="D792" i="1" s="1"/>
  <c r="D790" i="1"/>
  <c r="C1099" i="1"/>
  <c r="C1100" i="1" s="1"/>
  <c r="D1099" i="1"/>
  <c r="D791" i="1"/>
  <c r="C938" i="1"/>
  <c r="C939" i="1" s="1"/>
  <c r="C661" i="1"/>
  <c r="C662" i="1" s="1"/>
  <c r="D661" i="1"/>
  <c r="D896" i="1"/>
  <c r="C512" i="1"/>
  <c r="C671" i="1"/>
  <c r="C1148" i="1"/>
  <c r="C1149" i="1" s="1"/>
  <c r="C1143" i="1"/>
  <c r="C1144" i="1" s="1"/>
  <c r="D1144" i="1" s="1"/>
  <c r="C690" i="1"/>
  <c r="C691" i="1" s="1"/>
  <c r="C898" i="1"/>
  <c r="C899" i="1" s="1"/>
  <c r="C1026" i="1"/>
  <c r="C1027" i="1" s="1"/>
  <c r="C1053" i="1" l="1"/>
  <c r="D1052" i="1"/>
  <c r="D1145" i="1"/>
  <c r="C1146" i="1"/>
  <c r="D177" i="1"/>
  <c r="C178" i="1"/>
  <c r="D176" i="1"/>
  <c r="C923" i="1"/>
  <c r="D922" i="1"/>
  <c r="C486" i="1"/>
  <c r="D485" i="1"/>
  <c r="D374" i="1"/>
  <c r="C375" i="1"/>
  <c r="D939" i="1"/>
  <c r="C940" i="1"/>
  <c r="C1101" i="1"/>
  <c r="D1100" i="1"/>
  <c r="C692" i="1"/>
  <c r="D691" i="1"/>
  <c r="D1051" i="1"/>
  <c r="C393" i="1"/>
  <c r="D392" i="1"/>
  <c r="C350" i="1"/>
  <c r="D349" i="1"/>
  <c r="D512" i="1"/>
  <c r="C513" i="1"/>
  <c r="C145" i="1"/>
  <c r="D144" i="1"/>
  <c r="C5" i="1"/>
  <c r="D4" i="1"/>
  <c r="C900" i="1"/>
  <c r="D899" i="1"/>
  <c r="D764" i="1"/>
  <c r="C765" i="1"/>
  <c r="D1149" i="1"/>
  <c r="C1150" i="1"/>
  <c r="C731" i="1"/>
  <c r="D730" i="1"/>
  <c r="C17" i="1"/>
  <c r="D16" i="1"/>
  <c r="D1026" i="1"/>
  <c r="D910" i="1"/>
  <c r="C911" i="1"/>
  <c r="C455" i="1"/>
  <c r="C223" i="1"/>
  <c r="D662" i="1"/>
  <c r="C663" i="1"/>
  <c r="D414" i="1"/>
  <c r="C415" i="1"/>
  <c r="D3" i="1"/>
  <c r="D938" i="1"/>
  <c r="C155" i="1"/>
  <c r="D153" i="1"/>
  <c r="C542" i="1"/>
  <c r="D541" i="1"/>
  <c r="D348" i="1"/>
  <c r="D412" i="1"/>
  <c r="C688" i="1"/>
  <c r="D687" i="1"/>
  <c r="D480" i="1"/>
  <c r="D540" i="1"/>
  <c r="D413" i="1"/>
  <c r="C1028" i="1"/>
  <c r="D1027" i="1"/>
  <c r="C793" i="1"/>
  <c r="C672" i="1"/>
  <c r="D671" i="1"/>
  <c r="C857" i="1"/>
  <c r="C664" i="1" l="1"/>
  <c r="D663" i="1"/>
  <c r="D900" i="1"/>
  <c r="C901" i="1"/>
  <c r="D223" i="1"/>
  <c r="C224" i="1"/>
  <c r="C1102" i="1"/>
  <c r="D1101" i="1"/>
  <c r="C924" i="1"/>
  <c r="D923" i="1"/>
  <c r="D1028" i="1"/>
  <c r="C1029" i="1"/>
  <c r="C6" i="1"/>
  <c r="D5" i="1"/>
  <c r="D542" i="1"/>
  <c r="C543" i="1"/>
  <c r="C1147" i="1"/>
  <c r="D1147" i="1" s="1"/>
  <c r="D1146" i="1"/>
  <c r="D940" i="1"/>
  <c r="C941" i="1"/>
  <c r="D375" i="1"/>
  <c r="C376" i="1"/>
  <c r="C487" i="1"/>
  <c r="D486" i="1"/>
  <c r="D17" i="1"/>
  <c r="C18" i="1"/>
  <c r="D455" i="1"/>
  <c r="C456" i="1"/>
  <c r="D145" i="1"/>
  <c r="C146" i="1"/>
  <c r="D393" i="1"/>
  <c r="C394" i="1"/>
  <c r="C156" i="1"/>
  <c r="D155" i="1"/>
  <c r="C766" i="1"/>
  <c r="D765" i="1"/>
  <c r="D692" i="1"/>
  <c r="C693" i="1"/>
  <c r="C912" i="1"/>
  <c r="D911" i="1"/>
  <c r="D688" i="1"/>
  <c r="C689" i="1"/>
  <c r="D689" i="1" s="1"/>
  <c r="D513" i="1"/>
  <c r="C514" i="1"/>
  <c r="D350" i="1"/>
  <c r="C351" i="1"/>
  <c r="D178" i="1"/>
  <c r="C179" i="1"/>
  <c r="D731" i="1"/>
  <c r="C732" i="1"/>
  <c r="D857" i="1"/>
  <c r="C858" i="1"/>
  <c r="D1150" i="1"/>
  <c r="C1151" i="1"/>
  <c r="D672" i="1"/>
  <c r="C673" i="1"/>
  <c r="D793" i="1"/>
  <c r="C794" i="1"/>
  <c r="D415" i="1"/>
  <c r="C416" i="1"/>
  <c r="C1054" i="1"/>
  <c r="D1053" i="1"/>
  <c r="D6" i="1" l="1"/>
  <c r="C7" i="1"/>
  <c r="D179" i="1"/>
  <c r="C180" i="1"/>
  <c r="D1054" i="1"/>
  <c r="C1055" i="1"/>
  <c r="C1030" i="1"/>
  <c r="D1029" i="1"/>
  <c r="C19" i="1"/>
  <c r="D18" i="1"/>
  <c r="D543" i="1"/>
  <c r="C544" i="1"/>
  <c r="D146" i="1"/>
  <c r="C147" i="1"/>
  <c r="D147" i="1" s="1"/>
  <c r="D416" i="1"/>
  <c r="C417" i="1"/>
  <c r="C457" i="1"/>
  <c r="D456" i="1"/>
  <c r="D673" i="1"/>
  <c r="C674" i="1"/>
  <c r="C488" i="1"/>
  <c r="D487" i="1"/>
  <c r="C694" i="1"/>
  <c r="D693" i="1"/>
  <c r="D766" i="1"/>
  <c r="C767" i="1"/>
  <c r="D514" i="1"/>
  <c r="C515" i="1"/>
  <c r="D794" i="1"/>
  <c r="C795" i="1"/>
  <c r="D924" i="1"/>
  <c r="C925" i="1"/>
  <c r="D1102" i="1"/>
  <c r="C1103" i="1"/>
  <c r="C377" i="1"/>
  <c r="D376" i="1"/>
  <c r="C942" i="1"/>
  <c r="D941" i="1"/>
  <c r="D732" i="1"/>
  <c r="C733" i="1"/>
  <c r="C395" i="1"/>
  <c r="D394" i="1"/>
  <c r="D351" i="1"/>
  <c r="C352" i="1"/>
  <c r="C913" i="1"/>
  <c r="D912" i="1"/>
  <c r="D1151" i="1"/>
  <c r="C1152" i="1"/>
  <c r="D1152" i="1" s="1"/>
  <c r="D224" i="1"/>
  <c r="C225" i="1"/>
  <c r="D858" i="1"/>
  <c r="C859" i="1"/>
  <c r="C902" i="1"/>
  <c r="D901" i="1"/>
  <c r="D156" i="1"/>
  <c r="C157" i="1"/>
  <c r="D664" i="1"/>
  <c r="C665" i="1"/>
  <c r="C926" i="1" l="1"/>
  <c r="D925" i="1"/>
  <c r="C545" i="1"/>
  <c r="D544" i="1"/>
  <c r="C695" i="1"/>
  <c r="D694" i="1"/>
  <c r="C1031" i="1"/>
  <c r="D1030" i="1"/>
  <c r="C418" i="1"/>
  <c r="D417" i="1"/>
  <c r="C796" i="1"/>
  <c r="D795" i="1"/>
  <c r="D515" i="1"/>
  <c r="C516" i="1"/>
  <c r="C1056" i="1"/>
  <c r="D1055" i="1"/>
  <c r="C768" i="1"/>
  <c r="D767" i="1"/>
  <c r="C903" i="1"/>
  <c r="D902" i="1"/>
  <c r="D942" i="1"/>
  <c r="C943" i="1"/>
  <c r="D488" i="1"/>
  <c r="C489" i="1"/>
  <c r="D913" i="1"/>
  <c r="C914" i="1"/>
  <c r="D665" i="1"/>
  <c r="C666" i="1"/>
  <c r="C734" i="1"/>
  <c r="D733" i="1"/>
  <c r="C860" i="1"/>
  <c r="D859" i="1"/>
  <c r="D674" i="1"/>
  <c r="C675" i="1"/>
  <c r="C181" i="1"/>
  <c r="D180" i="1"/>
  <c r="C158" i="1"/>
  <c r="D157" i="1"/>
  <c r="D377" i="1"/>
  <c r="C378" i="1"/>
  <c r="D395" i="1"/>
  <c r="C396" i="1"/>
  <c r="C226" i="1"/>
  <c r="D225" i="1"/>
  <c r="D1103" i="1"/>
  <c r="C1104" i="1"/>
  <c r="D7" i="1"/>
  <c r="C8" i="1"/>
  <c r="D352" i="1"/>
  <c r="C353" i="1"/>
  <c r="D19" i="1"/>
  <c r="C20" i="1"/>
  <c r="C458" i="1"/>
  <c r="D457" i="1"/>
  <c r="D1104" i="1" l="1"/>
  <c r="C1105" i="1"/>
  <c r="C9" i="1"/>
  <c r="D8" i="1"/>
  <c r="C397" i="1"/>
  <c r="D396" i="1"/>
  <c r="C419" i="1"/>
  <c r="D418" i="1"/>
  <c r="D1031" i="1"/>
  <c r="C1032" i="1"/>
  <c r="C517" i="1"/>
  <c r="D516" i="1"/>
  <c r="D226" i="1"/>
  <c r="C227" i="1"/>
  <c r="C915" i="1"/>
  <c r="D914" i="1"/>
  <c r="D860" i="1"/>
  <c r="C861" i="1"/>
  <c r="D734" i="1"/>
  <c r="C735" i="1"/>
  <c r="D489" i="1"/>
  <c r="C490" i="1"/>
  <c r="C944" i="1"/>
  <c r="D943" i="1"/>
  <c r="C696" i="1"/>
  <c r="D695" i="1"/>
  <c r="C904" i="1"/>
  <c r="D903" i="1"/>
  <c r="D796" i="1"/>
  <c r="C797" i="1"/>
  <c r="C159" i="1"/>
  <c r="D158" i="1"/>
  <c r="C21" i="1"/>
  <c r="D20" i="1"/>
  <c r="D353" i="1"/>
  <c r="C354" i="1"/>
  <c r="C1057" i="1"/>
  <c r="D1056" i="1"/>
  <c r="D666" i="1"/>
  <c r="C667" i="1"/>
  <c r="C379" i="1"/>
  <c r="D378" i="1"/>
  <c r="C459" i="1"/>
  <c r="D458" i="1"/>
  <c r="C182" i="1"/>
  <c r="D181" i="1"/>
  <c r="C546" i="1"/>
  <c r="D545" i="1"/>
  <c r="C676" i="1"/>
  <c r="D675" i="1"/>
  <c r="D768" i="1"/>
  <c r="C769" i="1"/>
  <c r="D926" i="1"/>
  <c r="C927" i="1"/>
  <c r="D546" i="1" l="1"/>
  <c r="C547" i="1"/>
  <c r="C798" i="1"/>
  <c r="D797" i="1"/>
  <c r="C916" i="1"/>
  <c r="D915" i="1"/>
  <c r="D459" i="1"/>
  <c r="C460" i="1"/>
  <c r="C398" i="1"/>
  <c r="D397" i="1"/>
  <c r="C160" i="1"/>
  <c r="D159" i="1"/>
  <c r="D517" i="1"/>
  <c r="C518" i="1"/>
  <c r="D696" i="1"/>
  <c r="C697" i="1"/>
  <c r="C668" i="1"/>
  <c r="D668" i="1" s="1"/>
  <c r="D667" i="1"/>
  <c r="C945" i="1"/>
  <c r="D944" i="1"/>
  <c r="D769" i="1"/>
  <c r="C770" i="1"/>
  <c r="D735" i="1"/>
  <c r="C736" i="1"/>
  <c r="D182" i="1"/>
  <c r="C183" i="1"/>
  <c r="C420" i="1"/>
  <c r="D419" i="1"/>
  <c r="C491" i="1"/>
  <c r="D490" i="1"/>
  <c r="D9" i="1"/>
  <c r="C10" i="1"/>
  <c r="C1033" i="1"/>
  <c r="D1032" i="1"/>
  <c r="D1057" i="1"/>
  <c r="C1058" i="1"/>
  <c r="C355" i="1"/>
  <c r="D354" i="1"/>
  <c r="C862" i="1"/>
  <c r="D861" i="1"/>
  <c r="D1105" i="1"/>
  <c r="C1106" i="1"/>
  <c r="D227" i="1"/>
  <c r="C228" i="1"/>
  <c r="D904" i="1"/>
  <c r="C905" i="1"/>
  <c r="D379" i="1"/>
  <c r="C380" i="1"/>
  <c r="C928" i="1"/>
  <c r="D927" i="1"/>
  <c r="D676" i="1"/>
  <c r="C677" i="1"/>
  <c r="C22" i="1"/>
  <c r="D21" i="1"/>
  <c r="D380" i="1" l="1"/>
  <c r="C381" i="1"/>
  <c r="D905" i="1"/>
  <c r="C906" i="1"/>
  <c r="D228" i="1"/>
  <c r="C229" i="1"/>
  <c r="D518" i="1"/>
  <c r="C519" i="1"/>
  <c r="C161" i="1"/>
  <c r="D160" i="1"/>
  <c r="D697" i="1"/>
  <c r="C698" i="1"/>
  <c r="C1107" i="1"/>
  <c r="D1106" i="1"/>
  <c r="D916" i="1"/>
  <c r="C917" i="1"/>
  <c r="D398" i="1"/>
  <c r="C399" i="1"/>
  <c r="D862" i="1"/>
  <c r="C863" i="1"/>
  <c r="C184" i="1"/>
  <c r="D183" i="1"/>
  <c r="D945" i="1"/>
  <c r="C946" i="1"/>
  <c r="D798" i="1"/>
  <c r="C799" i="1"/>
  <c r="C11" i="1"/>
  <c r="D10" i="1"/>
  <c r="D420" i="1"/>
  <c r="C421" i="1"/>
  <c r="C461" i="1"/>
  <c r="D460" i="1"/>
  <c r="C356" i="1"/>
  <c r="D355" i="1"/>
  <c r="C548" i="1"/>
  <c r="D547" i="1"/>
  <c r="C492" i="1"/>
  <c r="D491" i="1"/>
  <c r="D736" i="1"/>
  <c r="C737" i="1"/>
  <c r="C771" i="1"/>
  <c r="D770" i="1"/>
  <c r="D22" i="1"/>
  <c r="C23" i="1"/>
  <c r="C678" i="1"/>
  <c r="D677" i="1"/>
  <c r="C1059" i="1"/>
  <c r="D1058" i="1"/>
  <c r="C929" i="1"/>
  <c r="D928" i="1"/>
  <c r="D1033" i="1"/>
  <c r="C1034" i="1"/>
  <c r="D698" i="1" l="1"/>
  <c r="C699" i="1"/>
  <c r="C422" i="1"/>
  <c r="D421" i="1"/>
  <c r="C1108" i="1"/>
  <c r="D1107" i="1"/>
  <c r="D946" i="1"/>
  <c r="C947" i="1"/>
  <c r="D11" i="1"/>
  <c r="C12" i="1"/>
  <c r="D161" i="1"/>
  <c r="C162" i="1"/>
  <c r="D863" i="1"/>
  <c r="C864" i="1"/>
  <c r="C907" i="1"/>
  <c r="D907" i="1" s="1"/>
  <c r="D906" i="1"/>
  <c r="C1060" i="1"/>
  <c r="D1059" i="1"/>
  <c r="D737" i="1"/>
  <c r="C738" i="1"/>
  <c r="D229" i="1"/>
  <c r="C230" i="1"/>
  <c r="C549" i="1"/>
  <c r="D548" i="1"/>
  <c r="C462" i="1"/>
  <c r="D461" i="1"/>
  <c r="D678" i="1"/>
  <c r="C679" i="1"/>
  <c r="C800" i="1"/>
  <c r="D799" i="1"/>
  <c r="C772" i="1"/>
  <c r="D771" i="1"/>
  <c r="C520" i="1"/>
  <c r="D519" i="1"/>
  <c r="C493" i="1"/>
  <c r="D492" i="1"/>
  <c r="D399" i="1"/>
  <c r="C400" i="1"/>
  <c r="D381" i="1"/>
  <c r="C382" i="1"/>
  <c r="C918" i="1"/>
  <c r="D917" i="1"/>
  <c r="D23" i="1"/>
  <c r="C24" i="1"/>
  <c r="D184" i="1"/>
  <c r="C185" i="1"/>
  <c r="D1034" i="1"/>
  <c r="C1035" i="1"/>
  <c r="D929" i="1"/>
  <c r="C930" i="1"/>
  <c r="D356" i="1"/>
  <c r="C357" i="1"/>
  <c r="C186" i="1" l="1"/>
  <c r="D185" i="1"/>
  <c r="C25" i="1"/>
  <c r="D24" i="1"/>
  <c r="C680" i="1"/>
  <c r="D679" i="1"/>
  <c r="C1036" i="1"/>
  <c r="D1035" i="1"/>
  <c r="D772" i="1"/>
  <c r="C773" i="1"/>
  <c r="D162" i="1"/>
  <c r="C163" i="1"/>
  <c r="C919" i="1"/>
  <c r="D918" i="1"/>
  <c r="D382" i="1"/>
  <c r="C383" i="1"/>
  <c r="C550" i="1"/>
  <c r="D549" i="1"/>
  <c r="C865" i="1"/>
  <c r="D864" i="1"/>
  <c r="D800" i="1"/>
  <c r="C801" i="1"/>
  <c r="D400" i="1"/>
  <c r="C401" i="1"/>
  <c r="D12" i="1"/>
  <c r="C13" i="1"/>
  <c r="D13" i="1" s="1"/>
  <c r="D462" i="1"/>
  <c r="C463" i="1"/>
  <c r="C948" i="1"/>
  <c r="D947" i="1"/>
  <c r="C231" i="1"/>
  <c r="D230" i="1"/>
  <c r="D1108" i="1"/>
  <c r="C1109" i="1"/>
  <c r="D357" i="1"/>
  <c r="C358" i="1"/>
  <c r="C739" i="1"/>
  <c r="D738" i="1"/>
  <c r="D493" i="1"/>
  <c r="C494" i="1"/>
  <c r="D422" i="1"/>
  <c r="C423" i="1"/>
  <c r="C931" i="1"/>
  <c r="D930" i="1"/>
  <c r="D699" i="1"/>
  <c r="C700" i="1"/>
  <c r="C521" i="1"/>
  <c r="D520" i="1"/>
  <c r="D1060" i="1"/>
  <c r="C1061" i="1"/>
  <c r="C232" i="1" l="1"/>
  <c r="D231" i="1"/>
  <c r="C920" i="1"/>
  <c r="D920" i="1" s="1"/>
  <c r="D919" i="1"/>
  <c r="D948" i="1"/>
  <c r="C949" i="1"/>
  <c r="D463" i="1"/>
  <c r="C464" i="1"/>
  <c r="C932" i="1"/>
  <c r="D931" i="1"/>
  <c r="C774" i="1"/>
  <c r="D773" i="1"/>
  <c r="D401" i="1"/>
  <c r="C402" i="1"/>
  <c r="D680" i="1"/>
  <c r="C681" i="1"/>
  <c r="C384" i="1"/>
  <c r="D383" i="1"/>
  <c r="D700" i="1"/>
  <c r="C701" i="1"/>
  <c r="C424" i="1"/>
  <c r="D423" i="1"/>
  <c r="C495" i="1"/>
  <c r="D494" i="1"/>
  <c r="D865" i="1"/>
  <c r="C866" i="1"/>
  <c r="D25" i="1"/>
  <c r="C26" i="1"/>
  <c r="D163" i="1"/>
  <c r="C164" i="1"/>
  <c r="D358" i="1"/>
  <c r="C359" i="1"/>
  <c r="C1110" i="1"/>
  <c r="D1109" i="1"/>
  <c r="D521" i="1"/>
  <c r="C522" i="1"/>
  <c r="C1037" i="1"/>
  <c r="D1036" i="1"/>
  <c r="D801" i="1"/>
  <c r="C802" i="1"/>
  <c r="C740" i="1"/>
  <c r="D739" i="1"/>
  <c r="C1062" i="1"/>
  <c r="D1061" i="1"/>
  <c r="D550" i="1"/>
  <c r="C551" i="1"/>
  <c r="D186" i="1"/>
  <c r="C187" i="1"/>
  <c r="D359" i="1" l="1"/>
  <c r="C360" i="1"/>
  <c r="C552" i="1"/>
  <c r="D551" i="1"/>
  <c r="C1063" i="1"/>
  <c r="D1062" i="1"/>
  <c r="C867" i="1"/>
  <c r="D866" i="1"/>
  <c r="D464" i="1"/>
  <c r="C465" i="1"/>
  <c r="C1038" i="1"/>
  <c r="D1037" i="1"/>
  <c r="C188" i="1"/>
  <c r="D187" i="1"/>
  <c r="C165" i="1"/>
  <c r="D164" i="1"/>
  <c r="D740" i="1"/>
  <c r="C741" i="1"/>
  <c r="D802" i="1"/>
  <c r="C803" i="1"/>
  <c r="D681" i="1"/>
  <c r="C682" i="1"/>
  <c r="C403" i="1"/>
  <c r="D402" i="1"/>
  <c r="C27" i="1"/>
  <c r="D26" i="1"/>
  <c r="C425" i="1"/>
  <c r="D424" i="1"/>
  <c r="C702" i="1"/>
  <c r="D701" i="1"/>
  <c r="C775" i="1"/>
  <c r="D774" i="1"/>
  <c r="D932" i="1"/>
  <c r="C933" i="1"/>
  <c r="C496" i="1"/>
  <c r="D495" i="1"/>
  <c r="C950" i="1"/>
  <c r="D949" i="1"/>
  <c r="D522" i="1"/>
  <c r="C523" i="1"/>
  <c r="C1111" i="1"/>
  <c r="D1110" i="1"/>
  <c r="D384" i="1"/>
  <c r="C385" i="1"/>
  <c r="D232" i="1"/>
  <c r="C233" i="1"/>
  <c r="D188" i="1" l="1"/>
  <c r="C189" i="1"/>
  <c r="C776" i="1"/>
  <c r="D775" i="1"/>
  <c r="D1038" i="1"/>
  <c r="C1039" i="1"/>
  <c r="C951" i="1"/>
  <c r="D950" i="1"/>
  <c r="C166" i="1"/>
  <c r="D165" i="1"/>
  <c r="C386" i="1"/>
  <c r="D385" i="1"/>
  <c r="D425" i="1"/>
  <c r="C426" i="1"/>
  <c r="C1112" i="1"/>
  <c r="D1111" i="1"/>
  <c r="C404" i="1"/>
  <c r="D403" i="1"/>
  <c r="C683" i="1"/>
  <c r="D682" i="1"/>
  <c r="C934" i="1"/>
  <c r="D933" i="1"/>
  <c r="C742" i="1"/>
  <c r="D741" i="1"/>
  <c r="C361" i="1"/>
  <c r="D360" i="1"/>
  <c r="D233" i="1"/>
  <c r="C234" i="1"/>
  <c r="D702" i="1"/>
  <c r="C703" i="1"/>
  <c r="C466" i="1"/>
  <c r="D465" i="1"/>
  <c r="D27" i="1"/>
  <c r="C28" i="1"/>
  <c r="D523" i="1"/>
  <c r="C524" i="1"/>
  <c r="C868" i="1"/>
  <c r="D867" i="1"/>
  <c r="D1063" i="1"/>
  <c r="C1064" i="1"/>
  <c r="C804" i="1"/>
  <c r="D803" i="1"/>
  <c r="D496" i="1"/>
  <c r="C497" i="1"/>
  <c r="C553" i="1"/>
  <c r="D552" i="1"/>
  <c r="D703" i="1" l="1"/>
  <c r="C704" i="1"/>
  <c r="D553" i="1"/>
  <c r="C554" i="1"/>
  <c r="D497" i="1"/>
  <c r="C498" i="1"/>
  <c r="D386" i="1"/>
  <c r="C387" i="1"/>
  <c r="D361" i="1"/>
  <c r="C362" i="1"/>
  <c r="C467" i="1"/>
  <c r="D466" i="1"/>
  <c r="C427" i="1"/>
  <c r="D426" i="1"/>
  <c r="D868" i="1"/>
  <c r="C869" i="1"/>
  <c r="D683" i="1"/>
  <c r="C684" i="1"/>
  <c r="D684" i="1" s="1"/>
  <c r="C1113" i="1"/>
  <c r="D1112" i="1"/>
  <c r="D804" i="1"/>
  <c r="C805" i="1"/>
  <c r="C952" i="1"/>
  <c r="D951" i="1"/>
  <c r="C1040" i="1"/>
  <c r="D1039" i="1"/>
  <c r="C935" i="1"/>
  <c r="D935" i="1" s="1"/>
  <c r="D934" i="1"/>
  <c r="C525" i="1"/>
  <c r="D524" i="1"/>
  <c r="D28" i="1"/>
  <c r="C29" i="1"/>
  <c r="C190" i="1"/>
  <c r="D189" i="1"/>
  <c r="C235" i="1"/>
  <c r="D234" i="1"/>
  <c r="D166" i="1"/>
  <c r="C167" i="1"/>
  <c r="C1065" i="1"/>
  <c r="D1064" i="1"/>
  <c r="C743" i="1"/>
  <c r="D742" i="1"/>
  <c r="D776" i="1"/>
  <c r="C777" i="1"/>
  <c r="D404" i="1"/>
  <c r="C405" i="1"/>
  <c r="D405" i="1" l="1"/>
  <c r="C406" i="1"/>
  <c r="D525" i="1"/>
  <c r="C526" i="1"/>
  <c r="D777" i="1"/>
  <c r="C778" i="1"/>
  <c r="C1041" i="1"/>
  <c r="D1040" i="1"/>
  <c r="D29" i="1"/>
  <c r="C30" i="1"/>
  <c r="C363" i="1"/>
  <c r="D362" i="1"/>
  <c r="D1065" i="1"/>
  <c r="C1066" i="1"/>
  <c r="C806" i="1"/>
  <c r="D805" i="1"/>
  <c r="C870" i="1"/>
  <c r="D869" i="1"/>
  <c r="D427" i="1"/>
  <c r="C428" i="1"/>
  <c r="C468" i="1"/>
  <c r="D467" i="1"/>
  <c r="C744" i="1"/>
  <c r="D743" i="1"/>
  <c r="D387" i="1"/>
  <c r="C388" i="1"/>
  <c r="C953" i="1"/>
  <c r="D952" i="1"/>
  <c r="D498" i="1"/>
  <c r="C499" i="1"/>
  <c r="D704" i="1"/>
  <c r="C705" i="1"/>
  <c r="D167" i="1"/>
  <c r="C168" i="1"/>
  <c r="C555" i="1"/>
  <c r="D554" i="1"/>
  <c r="C236" i="1"/>
  <c r="D235" i="1"/>
  <c r="D1113" i="1"/>
  <c r="C1114" i="1"/>
  <c r="C191" i="1"/>
  <c r="D190" i="1"/>
  <c r="D499" i="1" l="1"/>
  <c r="C500" i="1"/>
  <c r="D363" i="1"/>
  <c r="C364" i="1"/>
  <c r="C1067" i="1"/>
  <c r="D1066" i="1"/>
  <c r="D705" i="1"/>
  <c r="C706" i="1"/>
  <c r="C807" i="1"/>
  <c r="D806" i="1"/>
  <c r="D388" i="1"/>
  <c r="C389" i="1"/>
  <c r="D389" i="1" s="1"/>
  <c r="C192" i="1"/>
  <c r="D191" i="1"/>
  <c r="C779" i="1"/>
  <c r="D778" i="1"/>
  <c r="D1114" i="1"/>
  <c r="C1115" i="1"/>
  <c r="D744" i="1"/>
  <c r="C745" i="1"/>
  <c r="D236" i="1"/>
  <c r="C237" i="1"/>
  <c r="D428" i="1"/>
  <c r="C429" i="1"/>
  <c r="D555" i="1"/>
  <c r="C556" i="1"/>
  <c r="C407" i="1"/>
  <c r="D406" i="1"/>
  <c r="D953" i="1"/>
  <c r="C954" i="1"/>
  <c r="C31" i="1"/>
  <c r="D30" i="1"/>
  <c r="D1041" i="1"/>
  <c r="C1042" i="1"/>
  <c r="D468" i="1"/>
  <c r="C469" i="1"/>
  <c r="C527" i="1"/>
  <c r="D526" i="1"/>
  <c r="D168" i="1"/>
  <c r="C169" i="1"/>
  <c r="C871" i="1"/>
  <c r="D870" i="1"/>
  <c r="D779" i="1" l="1"/>
  <c r="C780" i="1"/>
  <c r="C955" i="1"/>
  <c r="D954" i="1"/>
  <c r="C193" i="1"/>
  <c r="D192" i="1"/>
  <c r="C430" i="1"/>
  <c r="D429" i="1"/>
  <c r="C808" i="1"/>
  <c r="D807" i="1"/>
  <c r="D31" i="1"/>
  <c r="C32" i="1"/>
  <c r="C557" i="1"/>
  <c r="D556" i="1"/>
  <c r="C872" i="1"/>
  <c r="D871" i="1"/>
  <c r="C170" i="1"/>
  <c r="D169" i="1"/>
  <c r="C238" i="1"/>
  <c r="D237" i="1"/>
  <c r="D469" i="1"/>
  <c r="C470" i="1"/>
  <c r="D364" i="1"/>
  <c r="C365" i="1"/>
  <c r="C1043" i="1"/>
  <c r="D1042" i="1"/>
  <c r="C1116" i="1"/>
  <c r="D1115" i="1"/>
  <c r="D500" i="1"/>
  <c r="C501" i="1"/>
  <c r="D407" i="1"/>
  <c r="C408" i="1"/>
  <c r="D706" i="1"/>
  <c r="C707" i="1"/>
  <c r="D527" i="1"/>
  <c r="C528" i="1"/>
  <c r="C1068" i="1"/>
  <c r="D1067" i="1"/>
  <c r="D745" i="1"/>
  <c r="C746" i="1"/>
  <c r="D557" i="1" l="1"/>
  <c r="C558" i="1"/>
  <c r="C502" i="1"/>
  <c r="D501" i="1"/>
  <c r="C1117" i="1"/>
  <c r="D1116" i="1"/>
  <c r="D808" i="1"/>
  <c r="C809" i="1"/>
  <c r="D470" i="1"/>
  <c r="C471" i="1"/>
  <c r="D238" i="1"/>
  <c r="C239" i="1"/>
  <c r="C956" i="1"/>
  <c r="D955" i="1"/>
  <c r="D872" i="1"/>
  <c r="C873" i="1"/>
  <c r="C33" i="1"/>
  <c r="D32" i="1"/>
  <c r="C747" i="1"/>
  <c r="D746" i="1"/>
  <c r="D193" i="1"/>
  <c r="C194" i="1"/>
  <c r="C529" i="1"/>
  <c r="D528" i="1"/>
  <c r="C708" i="1"/>
  <c r="D707" i="1"/>
  <c r="D780" i="1"/>
  <c r="C781" i="1"/>
  <c r="D408" i="1"/>
  <c r="C409" i="1"/>
  <c r="D409" i="1" s="1"/>
  <c r="C1044" i="1"/>
  <c r="D1043" i="1"/>
  <c r="C366" i="1"/>
  <c r="D365" i="1"/>
  <c r="D430" i="1"/>
  <c r="C431" i="1"/>
  <c r="C1069" i="1"/>
  <c r="D1068" i="1"/>
  <c r="D170" i="1"/>
  <c r="C171" i="1"/>
  <c r="D1044" i="1" l="1"/>
  <c r="C1045" i="1"/>
  <c r="D873" i="1"/>
  <c r="C874" i="1"/>
  <c r="D956" i="1"/>
  <c r="C957" i="1"/>
  <c r="D708" i="1"/>
  <c r="C709" i="1"/>
  <c r="C1070" i="1"/>
  <c r="D1069" i="1"/>
  <c r="C1118" i="1"/>
  <c r="D1117" i="1"/>
  <c r="D194" i="1"/>
  <c r="C195" i="1"/>
  <c r="D431" i="1"/>
  <c r="C432" i="1"/>
  <c r="C782" i="1"/>
  <c r="D781" i="1"/>
  <c r="C172" i="1"/>
  <c r="D171" i="1"/>
  <c r="D529" i="1"/>
  <c r="C530" i="1"/>
  <c r="D747" i="1"/>
  <c r="C748" i="1"/>
  <c r="D502" i="1"/>
  <c r="C503" i="1"/>
  <c r="C240" i="1"/>
  <c r="D239" i="1"/>
  <c r="D558" i="1"/>
  <c r="C559" i="1"/>
  <c r="D471" i="1"/>
  <c r="C472" i="1"/>
  <c r="D809" i="1"/>
  <c r="C810" i="1"/>
  <c r="D366" i="1"/>
  <c r="C367" i="1"/>
  <c r="C34" i="1"/>
  <c r="D33" i="1"/>
  <c r="D432" i="1" l="1"/>
  <c r="C433" i="1"/>
  <c r="D472" i="1"/>
  <c r="C473" i="1"/>
  <c r="D1118" i="1"/>
  <c r="C1119" i="1"/>
  <c r="D530" i="1"/>
  <c r="C531" i="1"/>
  <c r="C958" i="1"/>
  <c r="D957" i="1"/>
  <c r="D34" i="1"/>
  <c r="C35" i="1"/>
  <c r="C710" i="1"/>
  <c r="D709" i="1"/>
  <c r="C368" i="1"/>
  <c r="D367" i="1"/>
  <c r="D874" i="1"/>
  <c r="C875" i="1"/>
  <c r="C560" i="1"/>
  <c r="D559" i="1"/>
  <c r="D240" i="1"/>
  <c r="C241" i="1"/>
  <c r="C504" i="1"/>
  <c r="D503" i="1"/>
  <c r="D748" i="1"/>
  <c r="C749" i="1"/>
  <c r="D172" i="1"/>
  <c r="C173" i="1"/>
  <c r="D810" i="1"/>
  <c r="C811" i="1"/>
  <c r="C1046" i="1"/>
  <c r="D1045" i="1"/>
  <c r="D195" i="1"/>
  <c r="C196" i="1"/>
  <c r="D1070" i="1"/>
  <c r="C1071" i="1"/>
  <c r="D782" i="1"/>
  <c r="C783" i="1"/>
  <c r="C1047" i="1" l="1"/>
  <c r="D1046" i="1"/>
  <c r="C36" i="1"/>
  <c r="D35" i="1"/>
  <c r="D531" i="1"/>
  <c r="C532" i="1"/>
  <c r="D504" i="1"/>
  <c r="C505" i="1"/>
  <c r="D811" i="1"/>
  <c r="C812" i="1"/>
  <c r="D241" i="1"/>
  <c r="C242" i="1"/>
  <c r="D368" i="1"/>
  <c r="C369" i="1"/>
  <c r="D958" i="1"/>
  <c r="C959" i="1"/>
  <c r="C784" i="1"/>
  <c r="D783" i="1"/>
  <c r="C1120" i="1"/>
  <c r="D1119" i="1"/>
  <c r="C750" i="1"/>
  <c r="D749" i="1"/>
  <c r="C1072" i="1"/>
  <c r="D1071" i="1"/>
  <c r="C474" i="1"/>
  <c r="D473" i="1"/>
  <c r="D173" i="1"/>
  <c r="C174" i="1"/>
  <c r="D174" i="1" s="1"/>
  <c r="D560" i="1"/>
  <c r="C561" i="1"/>
  <c r="C711" i="1"/>
  <c r="D710" i="1"/>
  <c r="C876" i="1"/>
  <c r="D875" i="1"/>
  <c r="C197" i="1"/>
  <c r="D196" i="1"/>
  <c r="C434" i="1"/>
  <c r="D433" i="1"/>
  <c r="C960" i="1" l="1"/>
  <c r="D959" i="1"/>
  <c r="C712" i="1"/>
  <c r="D711" i="1"/>
  <c r="D750" i="1"/>
  <c r="C751" i="1"/>
  <c r="C475" i="1"/>
  <c r="D474" i="1"/>
  <c r="C1073" i="1"/>
  <c r="D1072" i="1"/>
  <c r="D369" i="1"/>
  <c r="C370" i="1"/>
  <c r="C1121" i="1"/>
  <c r="D1120" i="1"/>
  <c r="C37" i="1"/>
  <c r="D36" i="1"/>
  <c r="C243" i="1"/>
  <c r="D242" i="1"/>
  <c r="D434" i="1"/>
  <c r="C435" i="1"/>
  <c r="D561" i="1"/>
  <c r="C562" i="1"/>
  <c r="D812" i="1"/>
  <c r="C813" i="1"/>
  <c r="C506" i="1"/>
  <c r="D505" i="1"/>
  <c r="C533" i="1"/>
  <c r="D532" i="1"/>
  <c r="C198" i="1"/>
  <c r="D197" i="1"/>
  <c r="D876" i="1"/>
  <c r="C877" i="1"/>
  <c r="D784" i="1"/>
  <c r="C785" i="1"/>
  <c r="D1047" i="1"/>
  <c r="C1048" i="1"/>
  <c r="D533" i="1" l="1"/>
  <c r="C534" i="1"/>
  <c r="C878" i="1"/>
  <c r="D877" i="1"/>
  <c r="C199" i="1"/>
  <c r="D198" i="1"/>
  <c r="C507" i="1"/>
  <c r="D506" i="1"/>
  <c r="D475" i="1"/>
  <c r="C476" i="1"/>
  <c r="D562" i="1"/>
  <c r="C563" i="1"/>
  <c r="C1049" i="1"/>
  <c r="D1049" i="1" s="1"/>
  <c r="D1048" i="1"/>
  <c r="D785" i="1"/>
  <c r="C786" i="1"/>
  <c r="C38" i="1"/>
  <c r="D37" i="1"/>
  <c r="D1121" i="1"/>
  <c r="C1122" i="1"/>
  <c r="D370" i="1"/>
  <c r="C371" i="1"/>
  <c r="C1074" i="1"/>
  <c r="D1073" i="1"/>
  <c r="C814" i="1"/>
  <c r="D813" i="1"/>
  <c r="C752" i="1"/>
  <c r="D751" i="1"/>
  <c r="C436" i="1"/>
  <c r="D435" i="1"/>
  <c r="D712" i="1"/>
  <c r="C713" i="1"/>
  <c r="C244" i="1"/>
  <c r="D243" i="1"/>
  <c r="C961" i="1"/>
  <c r="D960" i="1"/>
  <c r="D752" i="1" l="1"/>
  <c r="C753" i="1"/>
  <c r="D713" i="1"/>
  <c r="C714" i="1"/>
  <c r="D563" i="1"/>
  <c r="C564" i="1"/>
  <c r="D786" i="1"/>
  <c r="C787" i="1"/>
  <c r="D814" i="1"/>
  <c r="C815" i="1"/>
  <c r="D507" i="1"/>
  <c r="C508" i="1"/>
  <c r="C372" i="1"/>
  <c r="D372" i="1" s="1"/>
  <c r="D371" i="1"/>
  <c r="D961" i="1"/>
  <c r="C962" i="1"/>
  <c r="C477" i="1"/>
  <c r="D477" i="1" s="1"/>
  <c r="D476" i="1"/>
  <c r="C1075" i="1"/>
  <c r="D1074" i="1"/>
  <c r="D199" i="1"/>
  <c r="C200" i="1"/>
  <c r="C1123" i="1"/>
  <c r="D1122" i="1"/>
  <c r="C535" i="1"/>
  <c r="D534" i="1"/>
  <c r="D436" i="1"/>
  <c r="C437" i="1"/>
  <c r="D878" i="1"/>
  <c r="C879" i="1"/>
  <c r="C245" i="1"/>
  <c r="D244" i="1"/>
  <c r="D38" i="1"/>
  <c r="C39" i="1"/>
  <c r="C246" i="1" l="1"/>
  <c r="D245" i="1"/>
  <c r="C509" i="1"/>
  <c r="D509" i="1" s="1"/>
  <c r="D508" i="1"/>
  <c r="C1124" i="1"/>
  <c r="D1123" i="1"/>
  <c r="C816" i="1"/>
  <c r="D815" i="1"/>
  <c r="C1076" i="1"/>
  <c r="D1075" i="1"/>
  <c r="C963" i="1"/>
  <c r="D962" i="1"/>
  <c r="C438" i="1"/>
  <c r="D437" i="1"/>
  <c r="C536" i="1"/>
  <c r="D535" i="1"/>
  <c r="C788" i="1"/>
  <c r="D788" i="1" s="1"/>
  <c r="D787" i="1"/>
  <c r="C201" i="1"/>
  <c r="D200" i="1"/>
  <c r="D753" i="1"/>
  <c r="C754" i="1"/>
  <c r="C880" i="1"/>
  <c r="D879" i="1"/>
  <c r="D564" i="1"/>
  <c r="C565" i="1"/>
  <c r="C715" i="1"/>
  <c r="D714" i="1"/>
  <c r="D39" i="1"/>
  <c r="C40" i="1"/>
  <c r="C537" i="1" l="1"/>
  <c r="D536" i="1"/>
  <c r="D438" i="1"/>
  <c r="C439" i="1"/>
  <c r="C817" i="1"/>
  <c r="D816" i="1"/>
  <c r="C716" i="1"/>
  <c r="D715" i="1"/>
  <c r="D40" i="1"/>
  <c r="C41" i="1"/>
  <c r="C964" i="1"/>
  <c r="D963" i="1"/>
  <c r="D1076" i="1"/>
  <c r="C1077" i="1"/>
  <c r="C881" i="1"/>
  <c r="D880" i="1"/>
  <c r="D565" i="1"/>
  <c r="C566" i="1"/>
  <c r="D754" i="1"/>
  <c r="C755" i="1"/>
  <c r="D1124" i="1"/>
  <c r="C1125" i="1"/>
  <c r="D201" i="1"/>
  <c r="C202" i="1"/>
  <c r="D246" i="1"/>
  <c r="C247" i="1"/>
  <c r="C1078" i="1" l="1"/>
  <c r="D1077" i="1"/>
  <c r="D41" i="1"/>
  <c r="C42" i="1"/>
  <c r="C203" i="1"/>
  <c r="D202" i="1"/>
  <c r="D716" i="1"/>
  <c r="C717" i="1"/>
  <c r="D881" i="1"/>
  <c r="C882" i="1"/>
  <c r="D964" i="1"/>
  <c r="C965" i="1"/>
  <c r="C756" i="1"/>
  <c r="D755" i="1"/>
  <c r="D247" i="1"/>
  <c r="C248" i="1"/>
  <c r="D1125" i="1"/>
  <c r="C1126" i="1"/>
  <c r="D817" i="1"/>
  <c r="C818" i="1"/>
  <c r="C440" i="1"/>
  <c r="D439" i="1"/>
  <c r="D566" i="1"/>
  <c r="C567" i="1"/>
  <c r="D537" i="1"/>
  <c r="C538" i="1"/>
  <c r="D538" i="1" s="1"/>
  <c r="C966" i="1" l="1"/>
  <c r="D965" i="1"/>
  <c r="C441" i="1"/>
  <c r="D440" i="1"/>
  <c r="D818" i="1"/>
  <c r="C819" i="1"/>
  <c r="C249" i="1"/>
  <c r="D248" i="1"/>
  <c r="D756" i="1"/>
  <c r="C757" i="1"/>
  <c r="C883" i="1"/>
  <c r="D882" i="1"/>
  <c r="D567" i="1"/>
  <c r="C568" i="1"/>
  <c r="C718" i="1"/>
  <c r="D717" i="1"/>
  <c r="D203" i="1"/>
  <c r="C204" i="1"/>
  <c r="C43" i="1"/>
  <c r="D42" i="1"/>
  <c r="C1127" i="1"/>
  <c r="D1126" i="1"/>
  <c r="C1079" i="1"/>
  <c r="D1078" i="1"/>
  <c r="D718" i="1" l="1"/>
  <c r="C719" i="1"/>
  <c r="C884" i="1"/>
  <c r="D883" i="1"/>
  <c r="C820" i="1"/>
  <c r="D819" i="1"/>
  <c r="C1080" i="1"/>
  <c r="D1079" i="1"/>
  <c r="C1128" i="1"/>
  <c r="D1127" i="1"/>
  <c r="C569" i="1"/>
  <c r="D568" i="1"/>
  <c r="C758" i="1"/>
  <c r="D758" i="1" s="1"/>
  <c r="D757" i="1"/>
  <c r="C250" i="1"/>
  <c r="D249" i="1"/>
  <c r="D43" i="1"/>
  <c r="C44" i="1"/>
  <c r="D441" i="1"/>
  <c r="C442" i="1"/>
  <c r="C205" i="1"/>
  <c r="D204" i="1"/>
  <c r="C967" i="1"/>
  <c r="D966" i="1"/>
  <c r="C251" i="1" l="1"/>
  <c r="D250" i="1"/>
  <c r="D205" i="1"/>
  <c r="C206" i="1"/>
  <c r="C443" i="1"/>
  <c r="D442" i="1"/>
  <c r="D44" i="1"/>
  <c r="C45" i="1"/>
  <c r="C570" i="1"/>
  <c r="D569" i="1"/>
  <c r="C1129" i="1"/>
  <c r="D1128" i="1"/>
  <c r="C968" i="1"/>
  <c r="D967" i="1"/>
  <c r="C1081" i="1"/>
  <c r="D1080" i="1"/>
  <c r="D820" i="1"/>
  <c r="C821" i="1"/>
  <c r="D884" i="1"/>
  <c r="C885" i="1"/>
  <c r="C720" i="1"/>
  <c r="D719" i="1"/>
  <c r="C571" i="1" l="1"/>
  <c r="D570" i="1"/>
  <c r="D1081" i="1"/>
  <c r="C1082" i="1"/>
  <c r="C969" i="1"/>
  <c r="D968" i="1"/>
  <c r="D1129" i="1"/>
  <c r="C1130" i="1"/>
  <c r="C46" i="1"/>
  <c r="D45" i="1"/>
  <c r="D720" i="1"/>
  <c r="C721" i="1"/>
  <c r="D443" i="1"/>
  <c r="C444" i="1"/>
  <c r="C886" i="1"/>
  <c r="D885" i="1"/>
  <c r="D206" i="1"/>
  <c r="C207" i="1"/>
  <c r="C822" i="1"/>
  <c r="D821" i="1"/>
  <c r="C252" i="1"/>
  <c r="D251" i="1"/>
  <c r="C887" i="1" l="1"/>
  <c r="D886" i="1"/>
  <c r="D46" i="1"/>
  <c r="C47" i="1"/>
  <c r="D969" i="1"/>
  <c r="C970" i="1"/>
  <c r="C1083" i="1"/>
  <c r="D1082" i="1"/>
  <c r="D207" i="1"/>
  <c r="C208" i="1"/>
  <c r="C445" i="1"/>
  <c r="D444" i="1"/>
  <c r="D721" i="1"/>
  <c r="C722" i="1"/>
  <c r="C1131" i="1"/>
  <c r="D1130" i="1"/>
  <c r="D252" i="1"/>
  <c r="C253" i="1"/>
  <c r="C823" i="1"/>
  <c r="D822" i="1"/>
  <c r="D571" i="1"/>
  <c r="C572" i="1"/>
  <c r="D1131" i="1" l="1"/>
  <c r="C1132" i="1"/>
  <c r="C209" i="1"/>
  <c r="D208" i="1"/>
  <c r="C971" i="1"/>
  <c r="D970" i="1"/>
  <c r="D722" i="1"/>
  <c r="C723" i="1"/>
  <c r="C446" i="1"/>
  <c r="D445" i="1"/>
  <c r="C1084" i="1"/>
  <c r="D1083" i="1"/>
  <c r="C573" i="1"/>
  <c r="D572" i="1"/>
  <c r="C48" i="1"/>
  <c r="D47" i="1"/>
  <c r="C824" i="1"/>
  <c r="D823" i="1"/>
  <c r="C254" i="1"/>
  <c r="D253" i="1"/>
  <c r="C888" i="1"/>
  <c r="D887" i="1"/>
  <c r="D573" i="1" l="1"/>
  <c r="C574" i="1"/>
  <c r="C49" i="1"/>
  <c r="D48" i="1"/>
  <c r="D446" i="1"/>
  <c r="C447" i="1"/>
  <c r="D971" i="1"/>
  <c r="C972" i="1"/>
  <c r="C1133" i="1"/>
  <c r="D1132" i="1"/>
  <c r="C1085" i="1"/>
  <c r="D1084" i="1"/>
  <c r="C724" i="1"/>
  <c r="D723" i="1"/>
  <c r="D888" i="1"/>
  <c r="C889" i="1"/>
  <c r="D254" i="1"/>
  <c r="C255" i="1"/>
  <c r="D209" i="1"/>
  <c r="C210" i="1"/>
  <c r="D824" i="1"/>
  <c r="C825" i="1"/>
  <c r="D972" i="1" l="1"/>
  <c r="C973" i="1"/>
  <c r="D724" i="1"/>
  <c r="C725" i="1"/>
  <c r="D447" i="1"/>
  <c r="C448" i="1"/>
  <c r="C575" i="1"/>
  <c r="D574" i="1"/>
  <c r="D889" i="1"/>
  <c r="C890" i="1"/>
  <c r="C1086" i="1"/>
  <c r="D1085" i="1"/>
  <c r="D1133" i="1"/>
  <c r="C1134" i="1"/>
  <c r="D825" i="1"/>
  <c r="C826" i="1"/>
  <c r="C211" i="1"/>
  <c r="D210" i="1"/>
  <c r="C50" i="1"/>
  <c r="D49" i="1"/>
  <c r="D255" i="1"/>
  <c r="C256" i="1"/>
  <c r="D1134" i="1" l="1"/>
  <c r="C1135" i="1"/>
  <c r="D826" i="1"/>
  <c r="C827" i="1"/>
  <c r="D1086" i="1"/>
  <c r="C1087" i="1"/>
  <c r="C576" i="1"/>
  <c r="D575" i="1"/>
  <c r="D448" i="1"/>
  <c r="C449" i="1"/>
  <c r="C726" i="1"/>
  <c r="D725" i="1"/>
  <c r="C974" i="1"/>
  <c r="D973" i="1"/>
  <c r="C891" i="1"/>
  <c r="D890" i="1"/>
  <c r="D256" i="1"/>
  <c r="C257" i="1"/>
  <c r="D50" i="1"/>
  <c r="C51" i="1"/>
  <c r="D211" i="1"/>
  <c r="C212" i="1"/>
  <c r="D974" i="1" l="1"/>
  <c r="C975" i="1"/>
  <c r="C892" i="1"/>
  <c r="D891" i="1"/>
  <c r="C727" i="1"/>
  <c r="D727" i="1" s="1"/>
  <c r="D726" i="1"/>
  <c r="D449" i="1"/>
  <c r="C450" i="1"/>
  <c r="D212" i="1"/>
  <c r="C213" i="1"/>
  <c r="C1136" i="1"/>
  <c r="D1135" i="1"/>
  <c r="C577" i="1"/>
  <c r="D576" i="1"/>
  <c r="C1088" i="1"/>
  <c r="D1087" i="1"/>
  <c r="C52" i="1"/>
  <c r="D51" i="1"/>
  <c r="C828" i="1"/>
  <c r="D827" i="1"/>
  <c r="D257" i="1"/>
  <c r="C258" i="1"/>
  <c r="C1137" i="1" l="1"/>
  <c r="D1136" i="1"/>
  <c r="C451" i="1"/>
  <c r="D451" i="1" s="1"/>
  <c r="D450" i="1"/>
  <c r="D258" i="1"/>
  <c r="C259" i="1"/>
  <c r="D1088" i="1"/>
  <c r="C1089" i="1"/>
  <c r="D577" i="1"/>
  <c r="C578" i="1"/>
  <c r="D213" i="1"/>
  <c r="C214" i="1"/>
  <c r="D828" i="1"/>
  <c r="C829" i="1"/>
  <c r="D892" i="1"/>
  <c r="C893" i="1"/>
  <c r="D893" i="1" s="1"/>
  <c r="D975" i="1"/>
  <c r="C976" i="1"/>
  <c r="C53" i="1"/>
  <c r="D52" i="1"/>
  <c r="C215" i="1" l="1"/>
  <c r="D214" i="1"/>
  <c r="D578" i="1"/>
  <c r="C579" i="1"/>
  <c r="C830" i="1"/>
  <c r="D829" i="1"/>
  <c r="C1090" i="1"/>
  <c r="D1089" i="1"/>
  <c r="D259" i="1"/>
  <c r="C260" i="1"/>
  <c r="C977" i="1"/>
  <c r="D976" i="1"/>
  <c r="C54" i="1"/>
  <c r="D53" i="1"/>
  <c r="D1137" i="1"/>
  <c r="C1138" i="1"/>
  <c r="D260" i="1" l="1"/>
  <c r="C261" i="1"/>
  <c r="C1139" i="1"/>
  <c r="D1138" i="1"/>
  <c r="D54" i="1"/>
  <c r="C55" i="1"/>
  <c r="C1091" i="1"/>
  <c r="D1090" i="1"/>
  <c r="C580" i="1"/>
  <c r="D579" i="1"/>
  <c r="D977" i="1"/>
  <c r="C978" i="1"/>
  <c r="D830" i="1"/>
  <c r="C831" i="1"/>
  <c r="D215" i="1"/>
  <c r="C216" i="1"/>
  <c r="C979" i="1" l="1"/>
  <c r="D978" i="1"/>
  <c r="D55" i="1"/>
  <c r="C56" i="1"/>
  <c r="D261" i="1"/>
  <c r="C262" i="1"/>
  <c r="C217" i="1"/>
  <c r="D216" i="1"/>
  <c r="C832" i="1"/>
  <c r="D831" i="1"/>
  <c r="C581" i="1"/>
  <c r="D580" i="1"/>
  <c r="C1092" i="1"/>
  <c r="D1091" i="1"/>
  <c r="C1140" i="1"/>
  <c r="D1140" i="1" s="1"/>
  <c r="D1139" i="1"/>
  <c r="D581" i="1" l="1"/>
  <c r="C582" i="1"/>
  <c r="C833" i="1"/>
  <c r="D832" i="1"/>
  <c r="C263" i="1"/>
  <c r="D262" i="1"/>
  <c r="D1092" i="1"/>
  <c r="C1093" i="1"/>
  <c r="D217" i="1"/>
  <c r="C218" i="1"/>
  <c r="D56" i="1"/>
  <c r="C57" i="1"/>
  <c r="C980" i="1"/>
  <c r="D979" i="1"/>
  <c r="D980" i="1" l="1"/>
  <c r="C981" i="1"/>
  <c r="D57" i="1"/>
  <c r="C58" i="1"/>
  <c r="C1094" i="1"/>
  <c r="D1093" i="1"/>
  <c r="D218" i="1"/>
  <c r="C219" i="1"/>
  <c r="D263" i="1"/>
  <c r="C264" i="1"/>
  <c r="D833" i="1"/>
  <c r="C834" i="1"/>
  <c r="D582" i="1"/>
  <c r="C583" i="1"/>
  <c r="D219" i="1" l="1"/>
  <c r="C220" i="1"/>
  <c r="D220" i="1" s="1"/>
  <c r="C584" i="1"/>
  <c r="D583" i="1"/>
  <c r="D834" i="1"/>
  <c r="C835" i="1"/>
  <c r="C265" i="1"/>
  <c r="D264" i="1"/>
  <c r="C1095" i="1"/>
  <c r="D1094" i="1"/>
  <c r="C59" i="1"/>
  <c r="D58" i="1"/>
  <c r="C982" i="1"/>
  <c r="D981" i="1"/>
  <c r="D59" i="1" l="1"/>
  <c r="C60" i="1"/>
  <c r="C1096" i="1"/>
  <c r="D1095" i="1"/>
  <c r="D265" i="1"/>
  <c r="C266" i="1"/>
  <c r="C983" i="1"/>
  <c r="D982" i="1"/>
  <c r="C836" i="1"/>
  <c r="D835" i="1"/>
  <c r="C585" i="1"/>
  <c r="D584" i="1"/>
  <c r="D585" i="1" l="1"/>
  <c r="C586" i="1"/>
  <c r="D836" i="1"/>
  <c r="C837" i="1"/>
  <c r="C984" i="1"/>
  <c r="D983" i="1"/>
  <c r="C267" i="1"/>
  <c r="D266" i="1"/>
  <c r="C1097" i="1"/>
  <c r="D1097" i="1" s="1"/>
  <c r="D1096" i="1"/>
  <c r="D60" i="1"/>
  <c r="C61" i="1"/>
  <c r="D61" i="1" l="1"/>
  <c r="C62" i="1"/>
  <c r="D267" i="1"/>
  <c r="C268" i="1"/>
  <c r="C985" i="1"/>
  <c r="D984" i="1"/>
  <c r="C838" i="1"/>
  <c r="D837" i="1"/>
  <c r="C587" i="1"/>
  <c r="D586" i="1"/>
  <c r="D587" i="1" l="1"/>
  <c r="C588" i="1"/>
  <c r="C839" i="1"/>
  <c r="D838" i="1"/>
  <c r="D985" i="1"/>
  <c r="C986" i="1"/>
  <c r="C269" i="1"/>
  <c r="D268" i="1"/>
  <c r="C63" i="1"/>
  <c r="D62" i="1"/>
  <c r="C64" i="1" l="1"/>
  <c r="D63" i="1"/>
  <c r="D986" i="1"/>
  <c r="C987" i="1"/>
  <c r="D269" i="1"/>
  <c r="C270" i="1"/>
  <c r="C840" i="1"/>
  <c r="D839" i="1"/>
  <c r="C589" i="1"/>
  <c r="D588" i="1"/>
  <c r="D589" i="1" l="1"/>
  <c r="C590" i="1"/>
  <c r="D840" i="1"/>
  <c r="C841" i="1"/>
  <c r="D270" i="1"/>
  <c r="C271" i="1"/>
  <c r="C988" i="1"/>
  <c r="D987" i="1"/>
  <c r="C65" i="1"/>
  <c r="D64" i="1"/>
  <c r="C66" i="1" l="1"/>
  <c r="D65" i="1"/>
  <c r="D988" i="1"/>
  <c r="C989" i="1"/>
  <c r="C272" i="1"/>
  <c r="D271" i="1"/>
  <c r="D841" i="1"/>
  <c r="C842" i="1"/>
  <c r="D590" i="1"/>
  <c r="C591" i="1"/>
  <c r="D591" i="1" l="1"/>
  <c r="C592" i="1"/>
  <c r="C273" i="1"/>
  <c r="D272" i="1"/>
  <c r="C990" i="1"/>
  <c r="D989" i="1"/>
  <c r="D842" i="1"/>
  <c r="C843" i="1"/>
  <c r="D66" i="1"/>
  <c r="C67" i="1"/>
  <c r="D67" i="1" l="1"/>
  <c r="C68" i="1"/>
  <c r="D990" i="1"/>
  <c r="C991" i="1"/>
  <c r="C844" i="1"/>
  <c r="D843" i="1"/>
  <c r="D273" i="1"/>
  <c r="C274" i="1"/>
  <c r="C593" i="1"/>
  <c r="D592" i="1"/>
  <c r="C594" i="1" l="1"/>
  <c r="D593" i="1"/>
  <c r="C275" i="1"/>
  <c r="D274" i="1"/>
  <c r="D844" i="1"/>
  <c r="C845" i="1"/>
  <c r="C992" i="1"/>
  <c r="D991" i="1"/>
  <c r="C69" i="1"/>
  <c r="D68" i="1"/>
  <c r="C70" i="1" l="1"/>
  <c r="D69" i="1"/>
  <c r="C993" i="1"/>
  <c r="D992" i="1"/>
  <c r="C846" i="1"/>
  <c r="D845" i="1"/>
  <c r="D275" i="1"/>
  <c r="C276" i="1"/>
  <c r="C595" i="1"/>
  <c r="D594" i="1"/>
  <c r="C596" i="1" l="1"/>
  <c r="D595" i="1"/>
  <c r="D993" i="1"/>
  <c r="C994" i="1"/>
  <c r="D276" i="1"/>
  <c r="C277" i="1"/>
  <c r="D846" i="1"/>
  <c r="C847" i="1"/>
  <c r="D70" i="1"/>
  <c r="C71" i="1"/>
  <c r="D71" i="1" l="1"/>
  <c r="C72" i="1"/>
  <c r="C848" i="1"/>
  <c r="D847" i="1"/>
  <c r="C278" i="1"/>
  <c r="D277" i="1"/>
  <c r="C995" i="1"/>
  <c r="D994" i="1"/>
  <c r="C597" i="1"/>
  <c r="D596" i="1"/>
  <c r="C279" i="1" l="1"/>
  <c r="D278" i="1"/>
  <c r="D597" i="1"/>
  <c r="C598" i="1"/>
  <c r="C996" i="1"/>
  <c r="D995" i="1"/>
  <c r="C849" i="1"/>
  <c r="D848" i="1"/>
  <c r="D72" i="1"/>
  <c r="C73" i="1"/>
  <c r="D849" i="1" l="1"/>
  <c r="C850" i="1"/>
  <c r="D598" i="1"/>
  <c r="C599" i="1"/>
  <c r="D73" i="1"/>
  <c r="C74" i="1"/>
  <c r="D996" i="1"/>
  <c r="C997" i="1"/>
  <c r="C280" i="1"/>
  <c r="D279" i="1"/>
  <c r="C998" i="1" l="1"/>
  <c r="D997" i="1"/>
  <c r="C281" i="1"/>
  <c r="D280" i="1"/>
  <c r="D599" i="1"/>
  <c r="C600" i="1"/>
  <c r="C75" i="1"/>
  <c r="D74" i="1"/>
  <c r="D850" i="1"/>
  <c r="C851" i="1"/>
  <c r="C852" i="1" l="1"/>
  <c r="D852" i="1" s="1"/>
  <c r="D851" i="1"/>
  <c r="D75" i="1"/>
  <c r="C76" i="1"/>
  <c r="D600" i="1"/>
  <c r="C601" i="1"/>
  <c r="D281" i="1"/>
  <c r="C282" i="1"/>
  <c r="C999" i="1"/>
  <c r="D998" i="1"/>
  <c r="D999" i="1" l="1"/>
  <c r="C1000" i="1"/>
  <c r="D282" i="1"/>
  <c r="C283" i="1"/>
  <c r="D601" i="1"/>
  <c r="C602" i="1"/>
  <c r="D76" i="1"/>
  <c r="C77" i="1"/>
  <c r="C603" i="1" l="1"/>
  <c r="D602" i="1"/>
  <c r="D77" i="1"/>
  <c r="C78" i="1"/>
  <c r="D283" i="1"/>
  <c r="C284" i="1"/>
  <c r="C1001" i="1"/>
  <c r="D1000" i="1"/>
  <c r="C285" i="1" l="1"/>
  <c r="D284" i="1"/>
  <c r="D1001" i="1"/>
  <c r="C1002" i="1"/>
  <c r="C79" i="1"/>
  <c r="D78" i="1"/>
  <c r="D603" i="1"/>
  <c r="C604" i="1"/>
  <c r="C605" i="1" l="1"/>
  <c r="D604" i="1"/>
  <c r="D79" i="1"/>
  <c r="C80" i="1"/>
  <c r="D1002" i="1"/>
  <c r="C1003" i="1"/>
  <c r="C286" i="1"/>
  <c r="D285" i="1"/>
  <c r="C1004" i="1" l="1"/>
  <c r="D1003" i="1"/>
  <c r="D286" i="1"/>
  <c r="C287" i="1"/>
  <c r="C81" i="1"/>
  <c r="D80" i="1"/>
  <c r="D605" i="1"/>
  <c r="C606" i="1"/>
  <c r="D606" i="1" l="1"/>
  <c r="C607" i="1"/>
  <c r="D81" i="1"/>
  <c r="C82" i="1"/>
  <c r="D287" i="1"/>
  <c r="C288" i="1"/>
  <c r="C1005" i="1"/>
  <c r="D1004" i="1"/>
  <c r="C1006" i="1" l="1"/>
  <c r="D1005" i="1"/>
  <c r="D288" i="1"/>
  <c r="C289" i="1"/>
  <c r="C83" i="1"/>
  <c r="D82" i="1"/>
  <c r="D607" i="1"/>
  <c r="C608" i="1"/>
  <c r="C609" i="1" l="1"/>
  <c r="D608" i="1"/>
  <c r="D83" i="1"/>
  <c r="C84" i="1"/>
  <c r="C290" i="1"/>
  <c r="D289" i="1"/>
  <c r="D1006" i="1"/>
  <c r="C1007" i="1"/>
  <c r="C1008" i="1" l="1"/>
  <c r="D1007" i="1"/>
  <c r="D290" i="1"/>
  <c r="C291" i="1"/>
  <c r="D84" i="1"/>
  <c r="C85" i="1"/>
  <c r="D609" i="1"/>
  <c r="C610" i="1"/>
  <c r="D610" i="1" l="1"/>
  <c r="C611" i="1"/>
  <c r="C86" i="1"/>
  <c r="D85" i="1"/>
  <c r="D291" i="1"/>
  <c r="C292" i="1"/>
  <c r="C1009" i="1"/>
  <c r="D1008" i="1"/>
  <c r="D1009" i="1" l="1"/>
  <c r="C1010" i="1"/>
  <c r="C293" i="1"/>
  <c r="D292" i="1"/>
  <c r="D86" i="1"/>
  <c r="C87" i="1"/>
  <c r="D611" i="1"/>
  <c r="C612" i="1"/>
  <c r="C613" i="1" l="1"/>
  <c r="D612" i="1"/>
  <c r="D87" i="1"/>
  <c r="C88" i="1"/>
  <c r="C294" i="1"/>
  <c r="D293" i="1"/>
  <c r="C1011" i="1"/>
  <c r="D1010" i="1"/>
  <c r="D88" i="1" l="1"/>
  <c r="C89" i="1"/>
  <c r="C1012" i="1"/>
  <c r="D1011" i="1"/>
  <c r="D294" i="1"/>
  <c r="C295" i="1"/>
  <c r="D613" i="1"/>
  <c r="C614" i="1"/>
  <c r="D614" i="1" l="1"/>
  <c r="C615" i="1"/>
  <c r="D295" i="1"/>
  <c r="C296" i="1"/>
  <c r="D1012" i="1"/>
  <c r="C1013" i="1"/>
  <c r="D89" i="1"/>
  <c r="C90" i="1"/>
  <c r="C91" i="1" l="1"/>
  <c r="D90" i="1"/>
  <c r="C297" i="1"/>
  <c r="D296" i="1"/>
  <c r="D615" i="1"/>
  <c r="C616" i="1"/>
  <c r="C1014" i="1"/>
  <c r="D1013" i="1"/>
  <c r="C1015" i="1" l="1"/>
  <c r="D1014" i="1"/>
  <c r="C617" i="1"/>
  <c r="D616" i="1"/>
  <c r="C298" i="1"/>
  <c r="D297" i="1"/>
  <c r="D91" i="1"/>
  <c r="C92" i="1"/>
  <c r="C299" i="1" l="1"/>
  <c r="D298" i="1"/>
  <c r="D617" i="1"/>
  <c r="C618" i="1"/>
  <c r="D92" i="1"/>
  <c r="C93" i="1"/>
  <c r="D1015" i="1"/>
  <c r="C1016" i="1"/>
  <c r="C1017" i="1" l="1"/>
  <c r="D1016" i="1"/>
  <c r="C619" i="1"/>
  <c r="D618" i="1"/>
  <c r="D93" i="1"/>
  <c r="C94" i="1"/>
  <c r="D299" i="1"/>
  <c r="C300" i="1"/>
  <c r="D300" i="1" l="1"/>
  <c r="C301" i="1"/>
  <c r="C95" i="1"/>
  <c r="D94" i="1"/>
  <c r="D619" i="1"/>
  <c r="C620" i="1"/>
  <c r="D1017" i="1"/>
  <c r="C1018" i="1"/>
  <c r="D1018" i="1" l="1"/>
  <c r="C1019" i="1"/>
  <c r="C96" i="1"/>
  <c r="D95" i="1"/>
  <c r="C302" i="1"/>
  <c r="D301" i="1"/>
  <c r="C621" i="1"/>
  <c r="D620" i="1"/>
  <c r="D621" i="1" l="1"/>
  <c r="C622" i="1"/>
  <c r="D302" i="1"/>
  <c r="C303" i="1"/>
  <c r="C97" i="1"/>
  <c r="D96" i="1"/>
  <c r="C1020" i="1"/>
  <c r="D1019" i="1"/>
  <c r="C1021" i="1" l="1"/>
  <c r="D1020" i="1"/>
  <c r="D97" i="1"/>
  <c r="C98" i="1"/>
  <c r="D622" i="1"/>
  <c r="C623" i="1"/>
  <c r="C304" i="1"/>
  <c r="D303" i="1"/>
  <c r="D304" i="1" l="1"/>
  <c r="C305" i="1"/>
  <c r="C624" i="1"/>
  <c r="D623" i="1"/>
  <c r="D98" i="1"/>
  <c r="C99" i="1"/>
  <c r="C1022" i="1"/>
  <c r="D1021" i="1"/>
  <c r="D1022" i="1" l="1"/>
  <c r="C1023" i="1"/>
  <c r="D1023" i="1" s="1"/>
  <c r="D99" i="1"/>
  <c r="C100" i="1"/>
  <c r="D624" i="1"/>
  <c r="C625" i="1"/>
  <c r="D305" i="1"/>
  <c r="C306" i="1"/>
  <c r="D306" i="1" l="1"/>
  <c r="C307" i="1"/>
  <c r="D625" i="1"/>
  <c r="C626" i="1"/>
  <c r="D100" i="1"/>
  <c r="C101" i="1"/>
  <c r="C102" i="1" l="1"/>
  <c r="D101" i="1"/>
  <c r="C627" i="1"/>
  <c r="D626" i="1"/>
  <c r="C308" i="1"/>
  <c r="D307" i="1"/>
  <c r="D627" i="1" l="1"/>
  <c r="C628" i="1"/>
  <c r="D308" i="1"/>
  <c r="C309" i="1"/>
  <c r="D102" i="1"/>
  <c r="C103" i="1"/>
  <c r="D103" i="1" l="1"/>
  <c r="C104" i="1"/>
  <c r="D309" i="1"/>
  <c r="C310" i="1"/>
  <c r="C629" i="1"/>
  <c r="D628" i="1"/>
  <c r="D629" i="1" l="1"/>
  <c r="C630" i="1"/>
  <c r="D310" i="1"/>
  <c r="C311" i="1"/>
  <c r="D104" i="1"/>
  <c r="C105" i="1"/>
  <c r="C106" i="1" l="1"/>
  <c r="D105" i="1"/>
  <c r="D311" i="1"/>
  <c r="C312" i="1"/>
  <c r="D630" i="1"/>
  <c r="C631" i="1"/>
  <c r="C632" i="1" l="1"/>
  <c r="D631" i="1"/>
  <c r="C313" i="1"/>
  <c r="D312" i="1"/>
  <c r="C107" i="1"/>
  <c r="D106" i="1"/>
  <c r="D107" i="1" l="1"/>
  <c r="C108" i="1"/>
  <c r="C314" i="1"/>
  <c r="D313" i="1"/>
  <c r="C633" i="1"/>
  <c r="D632" i="1"/>
  <c r="D633" i="1" l="1"/>
  <c r="C634" i="1"/>
  <c r="C315" i="1"/>
  <c r="D314" i="1"/>
  <c r="D108" i="1"/>
  <c r="C109" i="1"/>
  <c r="C110" i="1" l="1"/>
  <c r="D109" i="1"/>
  <c r="C316" i="1"/>
  <c r="D315" i="1"/>
  <c r="C635" i="1"/>
  <c r="D634" i="1"/>
  <c r="D635" i="1" l="1"/>
  <c r="C636" i="1"/>
  <c r="C317" i="1"/>
  <c r="D316" i="1"/>
  <c r="C111" i="1"/>
  <c r="D110" i="1"/>
  <c r="D111" i="1" l="1"/>
  <c r="C112" i="1"/>
  <c r="C318" i="1"/>
  <c r="D317" i="1"/>
  <c r="C637" i="1"/>
  <c r="D636" i="1"/>
  <c r="D637" i="1" l="1"/>
  <c r="C638" i="1"/>
  <c r="D318" i="1"/>
  <c r="C319" i="1"/>
  <c r="C113" i="1"/>
  <c r="D112" i="1"/>
  <c r="D113" i="1" l="1"/>
  <c r="C114" i="1"/>
  <c r="C320" i="1"/>
  <c r="D319" i="1"/>
  <c r="D638" i="1"/>
  <c r="C639" i="1"/>
  <c r="C640" i="1" l="1"/>
  <c r="D639" i="1"/>
  <c r="C321" i="1"/>
  <c r="D320" i="1"/>
  <c r="C115" i="1"/>
  <c r="D114" i="1"/>
  <c r="C322" i="1" l="1"/>
  <c r="D321" i="1"/>
  <c r="D115" i="1"/>
  <c r="C116" i="1"/>
  <c r="D640" i="1"/>
  <c r="C641" i="1"/>
  <c r="C117" i="1" l="1"/>
  <c r="D116" i="1"/>
  <c r="D641" i="1"/>
  <c r="C642" i="1"/>
  <c r="D322" i="1"/>
  <c r="C323" i="1"/>
  <c r="D323" i="1" l="1"/>
  <c r="C324" i="1"/>
  <c r="C643" i="1"/>
  <c r="D642" i="1"/>
  <c r="C118" i="1"/>
  <c r="D117" i="1"/>
  <c r="D118" i="1" l="1"/>
  <c r="C119" i="1"/>
  <c r="D643" i="1"/>
  <c r="C644" i="1"/>
  <c r="D324" i="1"/>
  <c r="C325" i="1"/>
  <c r="C326" i="1" l="1"/>
  <c r="D325" i="1"/>
  <c r="D119" i="1"/>
  <c r="C120" i="1"/>
  <c r="C645" i="1"/>
  <c r="D644" i="1"/>
  <c r="D120" i="1" l="1"/>
  <c r="C121" i="1"/>
  <c r="D645" i="1"/>
  <c r="C646" i="1"/>
  <c r="C327" i="1"/>
  <c r="D326" i="1"/>
  <c r="D327" i="1" l="1"/>
  <c r="C328" i="1"/>
  <c r="C122" i="1"/>
  <c r="D121" i="1"/>
  <c r="D646" i="1"/>
  <c r="C647" i="1"/>
  <c r="C123" i="1" l="1"/>
  <c r="D122" i="1"/>
  <c r="D328" i="1"/>
  <c r="C329" i="1"/>
  <c r="C648" i="1"/>
  <c r="D647" i="1"/>
  <c r="C649" i="1" l="1"/>
  <c r="D648" i="1"/>
  <c r="D329" i="1"/>
  <c r="C330" i="1"/>
  <c r="D123" i="1"/>
  <c r="C124" i="1"/>
  <c r="D124" i="1" l="1"/>
  <c r="C125" i="1"/>
  <c r="C331" i="1"/>
  <c r="D330" i="1"/>
  <c r="D649" i="1"/>
  <c r="C650" i="1"/>
  <c r="C651" i="1" l="1"/>
  <c r="D650" i="1"/>
  <c r="D125" i="1"/>
  <c r="C126" i="1"/>
  <c r="D331" i="1"/>
  <c r="C332" i="1"/>
  <c r="C333" i="1" l="1"/>
  <c r="D332" i="1"/>
  <c r="C127" i="1"/>
  <c r="D126" i="1"/>
  <c r="D651" i="1"/>
  <c r="C652" i="1"/>
  <c r="C128" i="1" l="1"/>
  <c r="D127" i="1"/>
  <c r="C653" i="1"/>
  <c r="D652" i="1"/>
  <c r="D333" i="1"/>
  <c r="C334" i="1"/>
  <c r="D334" i="1" l="1"/>
  <c r="C335" i="1"/>
  <c r="D653" i="1"/>
  <c r="C654" i="1"/>
  <c r="C129" i="1"/>
  <c r="D128" i="1"/>
  <c r="D129" i="1" l="1"/>
  <c r="C130" i="1"/>
  <c r="D335" i="1"/>
  <c r="C336" i="1"/>
  <c r="D654" i="1"/>
  <c r="C655" i="1"/>
  <c r="D130" i="1" l="1"/>
  <c r="C131" i="1"/>
  <c r="D655" i="1"/>
  <c r="C656" i="1"/>
  <c r="D656" i="1" s="1"/>
  <c r="C337" i="1"/>
  <c r="D336" i="1"/>
  <c r="C338" i="1" l="1"/>
  <c r="D337" i="1"/>
  <c r="D131" i="1"/>
  <c r="C132" i="1"/>
  <c r="D132" i="1" l="1"/>
  <c r="C133" i="1"/>
  <c r="D338" i="1"/>
  <c r="C339" i="1"/>
  <c r="C134" i="1" l="1"/>
  <c r="D133" i="1"/>
  <c r="D339" i="1"/>
  <c r="C340" i="1"/>
  <c r="D340" i="1" l="1"/>
  <c r="C341" i="1"/>
  <c r="D134" i="1"/>
  <c r="C135" i="1"/>
  <c r="D135" i="1" l="1"/>
  <c r="C136" i="1"/>
  <c r="D341" i="1"/>
  <c r="C342" i="1"/>
  <c r="C343" i="1" l="1"/>
  <c r="D342" i="1"/>
  <c r="C137" i="1"/>
  <c r="D136" i="1"/>
  <c r="D137" i="1" l="1"/>
  <c r="C138" i="1"/>
  <c r="C344" i="1"/>
  <c r="D344" i="1" s="1"/>
  <c r="D343" i="1"/>
  <c r="C139" i="1" l="1"/>
  <c r="D139" i="1" s="1"/>
  <c r="D138" i="1"/>
</calcChain>
</file>

<file path=xl/sharedStrings.xml><?xml version="1.0" encoding="utf-8"?>
<sst xmlns="http://schemas.openxmlformats.org/spreadsheetml/2006/main" count="2311" uniqueCount="1099">
  <si>
    <t>Municipio</t>
  </si>
  <si>
    <t>Municipio, Departamento</t>
  </si>
  <si>
    <t>Código Municipio</t>
  </si>
  <si>
    <r>
      <t>A</t>
    </r>
    <r>
      <rPr>
        <b/>
        <sz val="7.5"/>
        <color theme="1"/>
        <rFont val="Arial Narrow"/>
        <family val="2"/>
      </rPr>
      <t>a</t>
    </r>
  </si>
  <si>
    <r>
      <t>A</t>
    </r>
    <r>
      <rPr>
        <b/>
        <sz val="7.5"/>
        <color theme="1"/>
        <rFont val="Arial Narrow"/>
        <family val="2"/>
      </rPr>
      <t>v</t>
    </r>
  </si>
  <si>
    <t>Zona de Amenaza Sísmica</t>
  </si>
  <si>
    <r>
      <t>A</t>
    </r>
    <r>
      <rPr>
        <b/>
        <sz val="7.5"/>
        <color theme="1"/>
        <rFont val="Arial Narrow"/>
        <family val="2"/>
      </rPr>
      <t>e</t>
    </r>
  </si>
  <si>
    <r>
      <t>A</t>
    </r>
    <r>
      <rPr>
        <b/>
        <sz val="7.5"/>
        <color theme="1"/>
        <rFont val="Arial Narrow"/>
        <family val="2"/>
      </rPr>
      <t>d</t>
    </r>
  </si>
  <si>
    <t>Departamento De Amazonas</t>
  </si>
  <si>
    <t>Antioquia</t>
  </si>
  <si>
    <t>Leticia</t>
  </si>
  <si>
    <t>Baja</t>
  </si>
  <si>
    <t>Distrito</t>
  </si>
  <si>
    <t>El Encanto</t>
  </si>
  <si>
    <t>Atlántico</t>
  </si>
  <si>
    <t>La Chorrera</t>
  </si>
  <si>
    <t>Bolívar</t>
  </si>
  <si>
    <t>La Pedrera</t>
  </si>
  <si>
    <t>Boyacá</t>
  </si>
  <si>
    <t>La Victoria</t>
  </si>
  <si>
    <t>Caldas</t>
  </si>
  <si>
    <t>Mirití-Paraná</t>
  </si>
  <si>
    <t>Caquetá</t>
  </si>
  <si>
    <t>Puerto Alegría</t>
  </si>
  <si>
    <t>Cauca</t>
  </si>
  <si>
    <t>Puerto Arica</t>
  </si>
  <si>
    <t>Cesar</t>
  </si>
  <si>
    <t>Puerto Nariño</t>
  </si>
  <si>
    <t>Córdoba</t>
  </si>
  <si>
    <t>Puerto Santander</t>
  </si>
  <si>
    <t>Cundinamarca</t>
  </si>
  <si>
    <t>Tarapacá</t>
  </si>
  <si>
    <t>Choco</t>
  </si>
  <si>
    <t>Departamento De Antioquia</t>
  </si>
  <si>
    <t>Huila</t>
  </si>
  <si>
    <t>Medellín</t>
  </si>
  <si>
    <t>Intermedia</t>
  </si>
  <si>
    <t>La_Guajira</t>
  </si>
  <si>
    <t>Abejorral</t>
  </si>
  <si>
    <t>Alta</t>
  </si>
  <si>
    <t>Magdalena</t>
  </si>
  <si>
    <t>Abriaquí</t>
  </si>
  <si>
    <t>Meta</t>
  </si>
  <si>
    <t>Alejandría</t>
  </si>
  <si>
    <t>Nariño</t>
  </si>
  <si>
    <t>Amagá</t>
  </si>
  <si>
    <t>Norte_de_Santander</t>
  </si>
  <si>
    <t>Amalfi</t>
  </si>
  <si>
    <t>Quindío</t>
  </si>
  <si>
    <t>Andes</t>
  </si>
  <si>
    <t>Risaralda</t>
  </si>
  <si>
    <t>Angelópolis</t>
  </si>
  <si>
    <t>Santander</t>
  </si>
  <si>
    <t>Angostura</t>
  </si>
  <si>
    <t>Sucre</t>
  </si>
  <si>
    <t>Anorí</t>
  </si>
  <si>
    <t>Tolima</t>
  </si>
  <si>
    <t>Anzá</t>
  </si>
  <si>
    <t>Valle</t>
  </si>
  <si>
    <t>Apartadó</t>
  </si>
  <si>
    <t>Arauca</t>
  </si>
  <si>
    <t>Arboletes</t>
  </si>
  <si>
    <t>Casanare</t>
  </si>
  <si>
    <t>Argelia</t>
  </si>
  <si>
    <t>Putumayo</t>
  </si>
  <si>
    <t>Armenia</t>
  </si>
  <si>
    <t>Amazonas</t>
  </si>
  <si>
    <t>Barbosa</t>
  </si>
  <si>
    <t>San_Andrés</t>
  </si>
  <si>
    <t>Bello</t>
  </si>
  <si>
    <t>Guainía</t>
  </si>
  <si>
    <t>Belmira</t>
  </si>
  <si>
    <t>Guaviare</t>
  </si>
  <si>
    <t>Betania</t>
  </si>
  <si>
    <t>Vaupés</t>
  </si>
  <si>
    <t>Betulia</t>
  </si>
  <si>
    <t>Vichada</t>
  </si>
  <si>
    <t>Briceño</t>
  </si>
  <si>
    <t>Buriticá</t>
  </si>
  <si>
    <t>Cañasgordas</t>
  </si>
  <si>
    <t>Cáceres</t>
  </si>
  <si>
    <t>Caicedo</t>
  </si>
  <si>
    <t>Campamento</t>
  </si>
  <si>
    <t>Caracolí</t>
  </si>
  <si>
    <t>Caramanta</t>
  </si>
  <si>
    <t>Carepa</t>
  </si>
  <si>
    <t>Carmen De Viboral</t>
  </si>
  <si>
    <t>Carolina</t>
  </si>
  <si>
    <t>Caucásia</t>
  </si>
  <si>
    <t>Chigorodó</t>
  </si>
  <si>
    <t>Cisneros</t>
  </si>
  <si>
    <t>Ciudad Bolívar</t>
  </si>
  <si>
    <t>Cocorná</t>
  </si>
  <si>
    <t>Concepción</t>
  </si>
  <si>
    <t>Concordia</t>
  </si>
  <si>
    <t>Copacabana</t>
  </si>
  <si>
    <t>Dabeiba</t>
  </si>
  <si>
    <t>Don Matías</t>
  </si>
  <si>
    <t>Ebéjico</t>
  </si>
  <si>
    <t>El Bagre</t>
  </si>
  <si>
    <t>Entrerríos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</si>
  <si>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</si>
  <si>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</si>
  <si>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</si>
  <si>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</si>
  <si>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</si>
  <si>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</si>
  <si>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</si>
  <si>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</si>
  <si>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</si>
  <si>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</si>
  <si>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</si>
  <si>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</si>
  <si>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Itagüí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</si>
  <si>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</si>
  <si>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</si>
  <si>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</si>
  <si>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</si>
  <si>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</si>
  <si>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</si>
  <si>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</si>
  <si>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</si>
  <si>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</si>
  <si>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</si>
  <si>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</si>
  <si>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</si>
  <si>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</si>
  <si>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Nechí</t>
  </si>
  <si>
    <t>Necoclí</t>
  </si>
  <si>
    <t>Olaya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</si>
  <si>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</si>
  <si>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</si>
  <si>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</si>
  <si>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</si>
  <si>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</si>
  <si>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</si>
  <si>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</si>
  <si>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</si>
  <si>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</si>
  <si>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</si>
  <si>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</si>
  <si>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</si>
  <si>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</si>
  <si>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</si>
  <si>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</si>
  <si>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</si>
  <si>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</si>
  <si>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</si>
  <si>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</si>
  <si>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</t>
  </si>
  <si>
    <t>San Pedro De Urabá</t>
  </si>
  <si>
    <t>San Rafael</t>
  </si>
  <si>
    <t>San Roque</t>
  </si>
  <si>
    <t>San Vicente</t>
  </si>
  <si>
    <t>Santa Bárbara</t>
  </si>
  <si>
    <t>Santa Rosa De Osos</t>
  </si>
  <si>
    <t>Santafé De Antioquia</t>
  </si>
  <si>
    <t>Santo Domingo</t>
  </si>
  <si>
    <t>Santuario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</si>
  <si>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</si>
  <si>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</si>
  <si>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</si>
  <si>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</si>
  <si>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</si>
  <si>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</si>
  <si>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</si>
  <si>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</si>
  <si>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</si>
  <si>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</si>
  <si>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</si>
  <si>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</si>
  <si>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</si>
  <si>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</si>
  <si>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</si>
  <si>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</si>
  <si>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</si>
  <si>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</si>
  <si>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</si>
  <si>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</si>
  <si>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</si>
  <si>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Departamento De Arauca</t>
  </si>
  <si>
    <t>Arauquita</t>
  </si>
  <si>
    <t>Cravo Norte</t>
  </si>
  <si>
    <t>Fortul</t>
  </si>
  <si>
    <t>Puerto Rondón</t>
  </si>
  <si>
    <t>Saravena</t>
  </si>
  <si>
    <t>Tame</t>
  </si>
  <si>
    <t>Archipiélago De San Andrés</t>
  </si>
  <si>
    <t>Providencia y Santa Catalina</t>
  </si>
  <si>
    <t>Departamento De Atlántico</t>
  </si>
  <si>
    <t>Barranquilla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</si>
  <si>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</si>
  <si>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</si>
  <si>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</si>
  <si>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</si>
  <si>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</si>
  <si>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</si>
  <si>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</si>
  <si>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Manatí</t>
  </si>
  <si>
    <t>Palmar De Varela</t>
  </si>
  <si>
    <t>Piojo</t>
  </si>
  <si>
    <t>PoloNuevo</t>
  </si>
  <si>
    <t>Ponedera</t>
  </si>
  <si>
    <t>Puerto Colombia</t>
  </si>
  <si>
    <t>Repelón</t>
  </si>
  <si>
    <t>Sabanagrande</t>
  </si>
  <si>
    <t>Santa Lucía</t>
  </si>
  <si>
    <t>Santo Tomás</t>
  </si>
  <si>
    <t>Soledad</t>
  </si>
  <si>
    <t>Suán</t>
  </si>
  <si>
    <t>Tubará</t>
  </si>
  <si>
    <t>Usiacurí</t>
  </si>
  <si>
    <t>Departamento De Bolívar</t>
  </si>
  <si>
    <t>Cartagena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</si>
  <si>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</si>
  <si>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</si>
  <si>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</si>
  <si>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</si>
  <si>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</si>
  <si>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</si>
  <si>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</si>
  <si>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</si>
  <si>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</si>
  <si>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Clemencia</t>
  </si>
  <si>
    <t>El Carmen De Bolívar</t>
  </si>
  <si>
    <t>El Guamo</t>
  </si>
  <si>
    <t>El Peñón</t>
  </si>
  <si>
    <t>Hatillo De Loba</t>
  </si>
  <si>
    <t>Magangue</t>
  </si>
  <si>
    <t>Mahates</t>
  </si>
  <si>
    <t>Margarita</t>
  </si>
  <si>
    <t>María La Baja</t>
  </si>
  <si>
    <t>Mompós</t>
  </si>
  <si>
    <t>Montecristo</t>
  </si>
  <si>
    <t>Morales</t>
  </si>
  <si>
    <t>Pinillos</t>
  </si>
  <si>
    <t>Regidor</t>
  </si>
  <si>
    <t>Río Viejo</t>
  </si>
  <si>
    <t>San Cristóbal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</si>
  <si>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</si>
  <si>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</si>
  <si>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</si>
  <si>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</si>
  <si>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</si>
  <si>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</si>
  <si>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San Pablo</t>
  </si>
  <si>
    <t>Santa Catalina</t>
  </si>
  <si>
    <t>Santa Rosa</t>
  </si>
  <si>
    <t>Santa Rosa del Sur</t>
  </si>
  <si>
    <t>Simití</t>
  </si>
  <si>
    <t>Soplaviento</t>
  </si>
  <si>
    <t>Talaigua Nuevo</t>
  </si>
  <si>
    <t>Tiquisio</t>
  </si>
  <si>
    <t>Turbaco</t>
  </si>
  <si>
    <t>Turbaná</t>
  </si>
  <si>
    <t>Villanueva</t>
  </si>
  <si>
    <t>Zambrano</t>
  </si>
  <si>
    <t>Departamento De Boyacá</t>
  </si>
  <si>
    <t>Tunja</t>
  </si>
  <si>
    <t>Almeida</t>
  </si>
  <si>
    <t>Aquitania</t>
  </si>
  <si>
    <t>Arcabuco</t>
  </si>
  <si>
    <t>Belén</t>
  </si>
  <si>
    <t>Berbeo</t>
  </si>
  <si>
    <t>Beteitiva</t>
  </si>
  <si>
    <t>Boavita</t>
  </si>
  <si>
    <t>Buenavista</t>
  </si>
  <si>
    <t>Busbanzá</t>
  </si>
  <si>
    <t>Campohermoso</t>
  </si>
  <si>
    <t>Cerinza</t>
  </si>
  <si>
    <t>Chinavita</t>
  </si>
  <si>
    <t>Chiquinquirá</t>
  </si>
  <si>
    <t>Chíquiza</t>
  </si>
  <si>
    <t>Chiscas</t>
  </si>
  <si>
    <t>Chita</t>
  </si>
  <si>
    <t>Chitaraque</t>
  </si>
  <si>
    <t>Chivatá</t>
  </si>
  <si>
    <t>Chivor</t>
  </si>
  <si>
    <t>Ciénega</t>
  </si>
  <si>
    <t>Cómbita</t>
  </si>
  <si>
    <t>Coper</t>
  </si>
  <si>
    <t>Corrales</t>
  </si>
  <si>
    <t>Covarachia</t>
  </si>
  <si>
    <t>Cubará</t>
  </si>
  <si>
    <t>Cucaita</t>
  </si>
  <si>
    <t>Cuitiva</t>
  </si>
  <si>
    <t>Duitama</t>
  </si>
  <si>
    <t>El Cocuy</t>
  </si>
  <si>
    <t>El Espino</t>
  </si>
  <si>
    <t>Firavitoba</t>
  </si>
  <si>
    <t>Floresta</t>
  </si>
  <si>
    <t>Gachantiva</t>
  </si>
  <si>
    <t>Gámeza</t>
  </si>
  <si>
    <t>Garagoa</t>
  </si>
  <si>
    <t>Guacamayas</t>
  </si>
  <si>
    <t>Guateque</t>
  </si>
  <si>
    <t>Guayatá</t>
  </si>
  <si>
    <t>Guicán</t>
  </si>
  <si>
    <t>Iza</t>
  </si>
  <si>
    <t>Jenesano</t>
  </si>
  <si>
    <t>La Capilla</t>
  </si>
  <si>
    <t>La Uvita</t>
  </si>
  <si>
    <t>Labranzagrande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</si>
  <si>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</si>
  <si>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</si>
  <si>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</si>
  <si>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</si>
  <si>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</si>
  <si>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</si>
  <si>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</si>
  <si>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</si>
  <si>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</si>
  <si>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</si>
  <si>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</si>
  <si>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</si>
  <si>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</si>
  <si>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Páez</t>
  </si>
  <si>
    <t>Paipa</t>
  </si>
  <si>
    <t>Pajarito</t>
  </si>
  <si>
    <t>Panqueba</t>
  </si>
  <si>
    <t>Pauna</t>
  </si>
  <si>
    <t>Paya</t>
  </si>
  <si>
    <t>Paz De Río</t>
  </si>
  <si>
    <t>Pesca</t>
  </si>
  <si>
    <t>Pisba</t>
  </si>
  <si>
    <t>Puerto Boyacá</t>
  </si>
  <si>
    <t>Quipama</t>
  </si>
  <si>
    <t>Ramiriquí</t>
  </si>
  <si>
    <t>Ráquira</t>
  </si>
  <si>
    <t>Rondón</t>
  </si>
  <si>
    <t>Saboyá</t>
  </si>
  <si>
    <t>Sáchica</t>
  </si>
  <si>
    <t>Samacá</t>
  </si>
  <si>
    <t>San Eduardo</t>
  </si>
  <si>
    <t>San José De Pare</t>
  </si>
  <si>
    <t>San Luis De Gaceno</t>
  </si>
  <si>
    <t>San Mateo</t>
  </si>
  <si>
    <t>San Miguel de Sema</t>
  </si>
  <si>
    <t>San Pablo Borbur</t>
  </si>
  <si>
    <t>San Rosa Viterbo</t>
  </si>
  <si>
    <t>Santa María</t>
  </si>
  <si>
    <t>Santa Sofía</t>
  </si>
  <si>
    <t>Santana</t>
  </si>
  <si>
    <t>Sativanorte</t>
  </si>
  <si>
    <t>Sativasur</t>
  </si>
  <si>
    <t>Siachoque</t>
  </si>
  <si>
    <t>Soatá</t>
  </si>
  <si>
    <t>Socha</t>
  </si>
  <si>
    <t>Socotá</t>
  </si>
  <si>
    <t>Sogamoso</t>
  </si>
  <si>
    <t>Somondoco</t>
  </si>
  <si>
    <t>Sora</t>
  </si>
  <si>
    <t>Soracá</t>
  </si>
  <si>
    <t>Sotaquirá</t>
  </si>
  <si>
    <t>Susacón</t>
  </si>
  <si>
    <t>Sutamarchán</t>
  </si>
  <si>
    <t>Sutatenza</t>
  </si>
  <si>
    <t>Tasco</t>
  </si>
  <si>
    <t>Tenza</t>
  </si>
  <si>
    <t>Tibaná</t>
  </si>
  <si>
    <t>Tibasosa</t>
  </si>
  <si>
    <t>Tinjacá</t>
  </si>
  <si>
    <t>Tipacoque</t>
  </si>
  <si>
    <t>Toca</t>
  </si>
  <si>
    <t>Toguí</t>
  </si>
  <si>
    <t>Tópaga</t>
  </si>
  <si>
    <t>Tota</t>
  </si>
  <si>
    <t>Tunungua</t>
  </si>
  <si>
    <t>Turmequé</t>
  </si>
  <si>
    <t>Tuta</t>
  </si>
  <si>
    <t>Tutazá</t>
  </si>
  <si>
    <t>Úmbita</t>
  </si>
  <si>
    <t>Ventaquemada</t>
  </si>
  <si>
    <t>Villa de Leyva</t>
  </si>
  <si>
    <t>Viracachá</t>
  </si>
  <si>
    <t>Zetaquirá</t>
  </si>
  <si>
    <t>Departamento De Caldas</t>
  </si>
  <si>
    <t>Manizales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</si>
  <si>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</si>
  <si>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</si>
  <si>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</si>
  <si>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</si>
  <si>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</si>
  <si>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</si>
  <si>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</si>
  <si>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</si>
  <si>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</si>
  <si>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</si>
  <si>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</si>
  <si>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</si>
  <si>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</si>
  <si>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</si>
  <si>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</si>
  <si>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</si>
  <si>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</si>
  <si>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</si>
  <si>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Salamina</t>
  </si>
  <si>
    <t>Samaná</t>
  </si>
  <si>
    <t>San José</t>
  </si>
  <si>
    <t>Supía</t>
  </si>
  <si>
    <t>Victoria</t>
  </si>
  <si>
    <t>Villamaría</t>
  </si>
  <si>
    <t>Viterbo</t>
  </si>
  <si>
    <t>Departamento De Caquetá</t>
  </si>
  <si>
    <t>Florencia</t>
  </si>
  <si>
    <t>Albania</t>
  </si>
  <si>
    <t>Belén De los Andaquíes</t>
  </si>
  <si>
    <t>Cartagena del Chairá</t>
  </si>
  <si>
    <t>Currillo</t>
  </si>
  <si>
    <t>El Doncello</t>
  </si>
  <si>
    <t>El Paujil</t>
  </si>
  <si>
    <t>La Montañita</t>
  </si>
  <si>
    <t>Milán</t>
  </si>
  <si>
    <t>Morelia</t>
  </si>
  <si>
    <t>Puerto Rico</t>
  </si>
  <si>
    <t>San José De La Fragua</t>
  </si>
  <si>
    <t>San Vicente del Caguán</t>
  </si>
  <si>
    <t>Solano</t>
  </si>
  <si>
    <t>Solita</t>
  </si>
  <si>
    <t>Departamento De Casanare</t>
  </si>
  <si>
    <t>Yopal</t>
  </si>
  <si>
    <t>Aguazul</t>
  </si>
  <si>
    <t>Chámeza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</si>
  <si>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</si>
  <si>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</si>
  <si>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</si>
  <si>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</si>
  <si>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</si>
  <si>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</si>
  <si>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</si>
  <si>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Pore</t>
  </si>
  <si>
    <t>Recetor</t>
  </si>
  <si>
    <t>Sácama</t>
  </si>
  <si>
    <t>San Luis De Palenque</t>
  </si>
  <si>
    <t>Támara</t>
  </si>
  <si>
    <t>Tauramena</t>
  </si>
  <si>
    <t>Trinidad</t>
  </si>
  <si>
    <t>Departamento del Cauca</t>
  </si>
  <si>
    <t>Popayán</t>
  </si>
  <si>
    <t>Almaguer</t>
  </si>
  <si>
    <t>Balboa</t>
  </si>
  <si>
    <t>Buenos Aires</t>
  </si>
  <si>
    <t>Cajibío</t>
  </si>
  <si>
    <t>Caldonó</t>
  </si>
  <si>
    <t>Caloto</t>
  </si>
  <si>
    <t>Corinto</t>
  </si>
  <si>
    <t>El Tambo</t>
  </si>
  <si>
    <t>Guapí</t>
  </si>
  <si>
    <t>Inzá</t>
  </si>
  <si>
    <t>Jambaló</t>
  </si>
  <si>
    <t>La Sierra</t>
  </si>
  <si>
    <t>La Vega</t>
  </si>
  <si>
    <t>López</t>
  </si>
  <si>
    <t>Mercaderes</t>
  </si>
  <si>
    <t>Miranda</t>
  </si>
  <si>
    <t>Padilla</t>
  </si>
  <si>
    <t>Patía</t>
  </si>
  <si>
    <t>Piamonte</t>
  </si>
  <si>
    <t>Piendamó</t>
  </si>
  <si>
    <t>Puerto Tejada</t>
  </si>
  <si>
    <t>Puracé</t>
  </si>
  <si>
    <t>Rosas</t>
  </si>
  <si>
    <t>San Sebastián</t>
  </si>
  <si>
    <t>Santander De Quilichao</t>
  </si>
  <si>
    <t>Silvia</t>
  </si>
  <si>
    <t>Sotará</t>
  </si>
  <si>
    <t>Suárez</t>
  </si>
  <si>
    <t>Timbío</t>
  </si>
  <si>
    <t>Timbiquí</t>
  </si>
  <si>
    <t>Toribío</t>
  </si>
  <si>
    <t>Totoró</t>
  </si>
  <si>
    <t>Villa Rica</t>
  </si>
  <si>
    <t>Departamento del Cesar</t>
  </si>
  <si>
    <t>Valledupar</t>
  </si>
  <si>
    <t>Aguachica</t>
  </si>
  <si>
    <t>Agustín Codazzi</t>
  </si>
  <si>
    <t>Astréa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</si>
  <si>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</si>
  <si>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</si>
  <si>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</si>
  <si>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</si>
  <si>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</si>
  <si>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</si>
  <si>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</si>
  <si>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</si>
  <si>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</si>
  <si>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</si>
  <si>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</si>
  <si>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La Paz</t>
  </si>
  <si>
    <t>Manaure</t>
  </si>
  <si>
    <t>Pailitas</t>
  </si>
  <si>
    <t>Pelaya</t>
  </si>
  <si>
    <t>Pueblo Bello</t>
  </si>
  <si>
    <t>Río De Oro</t>
  </si>
  <si>
    <t>San Alberto</t>
  </si>
  <si>
    <t>San Diego</t>
  </si>
  <si>
    <t>San Martín</t>
  </si>
  <si>
    <t>Tamalameque</t>
  </si>
  <si>
    <t>Departamento del Chocó</t>
  </si>
  <si>
    <t>Quibdó</t>
  </si>
  <si>
    <t>Acandí</t>
  </si>
  <si>
    <t>Alto Baudó</t>
  </si>
  <si>
    <t>Atrato</t>
  </si>
  <si>
    <t>Bagadó</t>
  </si>
  <si>
    <t>Bahía Solano</t>
  </si>
  <si>
    <t>Bajo Baudó</t>
  </si>
  <si>
    <t>Belén De Bajirá</t>
  </si>
  <si>
    <t>Bojayá</t>
  </si>
  <si>
    <t>Cantón De San Pablo</t>
  </si>
  <si>
    <t>Carmen del Darién</t>
  </si>
  <si>
    <t>Certeguí</t>
  </si>
  <si>
    <t>Condoto</t>
  </si>
  <si>
    <t>El Carmen De Atrato</t>
  </si>
  <si>
    <t>El Litoral del San Juan</t>
  </si>
  <si>
    <t>Itsmína</t>
  </si>
  <si>
    <t>Juradó</t>
  </si>
  <si>
    <t>Lloró</t>
  </si>
  <si>
    <t>Medio Atrato</t>
  </si>
  <si>
    <t>Medio Baudó</t>
  </si>
  <si>
    <t>Medio San Juan</t>
  </si>
  <si>
    <t>Nóvita</t>
  </si>
  <si>
    <t>Nuquí</t>
  </si>
  <si>
    <t>Río Iro</t>
  </si>
  <si>
    <t>Río Quito</t>
  </si>
  <si>
    <t>San José del Palmar</t>
  </si>
  <si>
    <t>Sipí</t>
  </si>
  <si>
    <t>Tadó</t>
  </si>
  <si>
    <t>Unguía</t>
  </si>
  <si>
    <t>Unión Panamericana</t>
  </si>
  <si>
    <t>Departamento De Córdoba</t>
  </si>
  <si>
    <t>Montería</t>
  </si>
  <si>
    <t>Ayapel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</si>
  <si>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</si>
  <si>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</si>
  <si>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</si>
  <si>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</si>
  <si>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</si>
  <si>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</si>
  <si>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</si>
  <si>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</si>
  <si>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Los Córdobas</t>
  </si>
  <si>
    <t>Moñitos</t>
  </si>
  <si>
    <t>Momil</t>
  </si>
  <si>
    <t>Montelíbano</t>
  </si>
  <si>
    <t>Planeta Rica</t>
  </si>
  <si>
    <t>Pueblo Nuevo</t>
  </si>
  <si>
    <t>Puerto Escondido</t>
  </si>
  <si>
    <t>Puerto Libertador</t>
  </si>
  <si>
    <t>Purísima</t>
  </si>
  <si>
    <t>Sahagún</t>
  </si>
  <si>
    <t>San Andrés De Sotavento</t>
  </si>
  <si>
    <t>San Antero</t>
  </si>
  <si>
    <t>San Bernardo del Viento</t>
  </si>
  <si>
    <t>San Pelayo</t>
  </si>
  <si>
    <t>Tierralta</t>
  </si>
  <si>
    <t>Valencia</t>
  </si>
  <si>
    <t>Departamento De Cundinamarca</t>
  </si>
  <si>
    <t>Bogotá D.C.</t>
  </si>
  <si>
    <t>Agua De Dios</t>
  </si>
  <si>
    <t>Albán</t>
  </si>
  <si>
    <t>Anapóima</t>
  </si>
  <si>
    <t>Anolaima</t>
  </si>
  <si>
    <t>Apulo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</si>
  <si>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</si>
  <si>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</si>
  <si>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</si>
  <si>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</si>
  <si>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</si>
  <si>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</si>
  <si>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</si>
  <si>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</si>
  <si>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Cáqueza</t>
  </si>
  <si>
    <t>Carmen De Carupa</t>
  </si>
  <si>
    <t>Chaguaní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</si>
  <si>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</si>
  <si>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</si>
  <si>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</si>
  <si>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</si>
  <si>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</si>
  <si>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</si>
  <si>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</si>
  <si>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</si>
  <si>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</si>
  <si>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Facatativá</t>
  </si>
  <si>
    <t>Fómeque</t>
  </si>
  <si>
    <t>Fosca</t>
  </si>
  <si>
    <t>Funza</t>
  </si>
  <si>
    <t>Fúquene</t>
  </si>
  <si>
    <t>Fusagasugá</t>
  </si>
  <si>
    <t>Gachalá</t>
  </si>
  <si>
    <t>Gachancipá</t>
  </si>
  <si>
    <t>Gachetá</t>
  </si>
  <si>
    <t>Gama</t>
  </si>
  <si>
    <t>Girardot</t>
  </si>
  <si>
    <t>Guachetá</t>
  </si>
  <si>
    <t>Guaduas</t>
  </si>
  <si>
    <t>Guasca</t>
  </si>
  <si>
    <t>Guataquí</t>
  </si>
  <si>
    <t>Guatavita</t>
  </si>
  <si>
    <t>Guayabal De Síquima</t>
  </si>
  <si>
    <t>Guayabetal</t>
  </si>
  <si>
    <t>Gutiérrez</t>
  </si>
  <si>
    <t>Jerusalén</t>
  </si>
  <si>
    <t>Junín</t>
  </si>
  <si>
    <t>La Calera</t>
  </si>
  <si>
    <t>La Mesa</t>
  </si>
  <si>
    <t>La Palma</t>
  </si>
  <si>
    <t>La Peña</t>
  </si>
  <si>
    <t>Lenguazaque</t>
  </si>
  <si>
    <t>Machetá</t>
  </si>
  <si>
    <t>Madrid</t>
  </si>
  <si>
    <t>Manta</t>
  </si>
  <si>
    <t>Medina</t>
  </si>
  <si>
    <t>Mosquera</t>
  </si>
  <si>
    <t>Nemocón</t>
  </si>
  <si>
    <t>Nilo</t>
  </si>
  <si>
    <t>Nimáima</t>
  </si>
  <si>
    <t>Nocáima</t>
  </si>
  <si>
    <t>Pacho</t>
  </si>
  <si>
    <t>Paime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</si>
  <si>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</si>
  <si>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</si>
  <si>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</si>
  <si>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</si>
  <si>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</si>
  <si>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</si>
  <si>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</si>
  <si>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</si>
  <si>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Ricaurte</t>
  </si>
  <si>
    <t>San Antonio De Tequendama</t>
  </si>
  <si>
    <t>San Bernardo</t>
  </si>
  <si>
    <t>San Cayetano</t>
  </si>
  <si>
    <t>San Juan De Rioseco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</si>
  <si>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</si>
  <si>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</si>
  <si>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</si>
  <si>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</si>
  <si>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</si>
  <si>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</si>
  <si>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</si>
  <si>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</si>
  <si>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</si>
  <si>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</si>
  <si>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</si>
  <si>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</si>
  <si>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Tábio</t>
  </si>
  <si>
    <t>Tausa</t>
  </si>
  <si>
    <t>Tena</t>
  </si>
  <si>
    <t>Tenjo</t>
  </si>
  <si>
    <t>Tibacuy</t>
  </si>
  <si>
    <t>Tibiritá</t>
  </si>
  <si>
    <t>Tocaima</t>
  </si>
  <si>
    <t>Tocancipá</t>
  </si>
  <si>
    <t>Topaipí</t>
  </si>
  <si>
    <t>Ubalá</t>
  </si>
  <si>
    <t>Ubaque</t>
  </si>
  <si>
    <t>Ubaté</t>
  </si>
  <si>
    <t>Une</t>
  </si>
  <si>
    <t>Útica</t>
  </si>
  <si>
    <t>Vergara</t>
  </si>
  <si>
    <t>Vianí</t>
  </si>
  <si>
    <t>Villagómez</t>
  </si>
  <si>
    <t>Villapinzón</t>
  </si>
  <si>
    <t>Villeta</t>
  </si>
  <si>
    <t>Viotá</t>
  </si>
  <si>
    <t>Yacopí</t>
  </si>
  <si>
    <t>Zipacón</t>
  </si>
  <si>
    <t>Zipaquirá</t>
  </si>
  <si>
    <t>Capital</t>
  </si>
  <si>
    <t>Departamento del Guainía</t>
  </si>
  <si>
    <t>Puerto Inírida</t>
  </si>
  <si>
    <t>Barranco Mina</t>
  </si>
  <si>
    <t>Cacahual</t>
  </si>
  <si>
    <t>La Guadalupe</t>
  </si>
  <si>
    <t>Mapiripaná</t>
  </si>
  <si>
    <t>Morichal</t>
  </si>
  <si>
    <t>Pana Pana</t>
  </si>
  <si>
    <t>San Felipe</t>
  </si>
  <si>
    <t>Departamento De La Guajira</t>
  </si>
  <si>
    <t>Riohacha</t>
  </si>
  <si>
    <t>Barrancas</t>
  </si>
  <si>
    <t>Dibulla</t>
  </si>
  <si>
    <t>Distracción</t>
  </si>
  <si>
    <t>El Molino</t>
  </si>
  <si>
    <t>Fonseca</t>
  </si>
  <si>
    <t>HatoNuevo</t>
  </si>
  <si>
    <t>La Jagua del Pilar</t>
  </si>
  <si>
    <t>Maicao</t>
  </si>
  <si>
    <t>San Juan del Cesar</t>
  </si>
  <si>
    <t>Uribía</t>
  </si>
  <si>
    <t>Urumita</t>
  </si>
  <si>
    <t>Departamento del Guaviare</t>
  </si>
  <si>
    <t>San José del Guaviare</t>
  </si>
  <si>
    <t>El Retorno</t>
  </si>
  <si>
    <t>Departamento del 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</si>
  <si>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</si>
  <si>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</si>
  <si>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</si>
  <si>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</si>
  <si>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</si>
  <si>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</si>
  <si>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</si>
  <si>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</si>
  <si>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</si>
  <si>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Elías</t>
  </si>
  <si>
    <t>Garzón</t>
  </si>
  <si>
    <t>Gigante</t>
  </si>
  <si>
    <t>Hobo</t>
  </si>
  <si>
    <t>Iquira</t>
  </si>
  <si>
    <t>Isnos</t>
  </si>
  <si>
    <t>La Argentina</t>
  </si>
  <si>
    <t>La Plata</t>
  </si>
  <si>
    <t>Nátaga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</si>
  <si>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</si>
  <si>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</si>
  <si>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</si>
  <si>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</si>
  <si>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</si>
  <si>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</si>
  <si>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</si>
  <si>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</si>
  <si>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Suazá</t>
  </si>
  <si>
    <t>Tarquí</t>
  </si>
  <si>
    <t>Tello</t>
  </si>
  <si>
    <t>Teruel</t>
  </si>
  <si>
    <t>Tesalia</t>
  </si>
  <si>
    <t>Timaná</t>
  </si>
  <si>
    <t>Villavieja</t>
  </si>
  <si>
    <t>Yaguará</t>
  </si>
  <si>
    <t>Departamento del Magdalena</t>
  </si>
  <si>
    <t>Santa Marta</t>
  </si>
  <si>
    <t>Algarrobo</t>
  </si>
  <si>
    <t>Aracataca</t>
  </si>
  <si>
    <t>Ariguaní</t>
  </si>
  <si>
    <t>Cerro San Antonio</t>
  </si>
  <si>
    <t>Chivolo</t>
  </si>
  <si>
    <t>Ciénaga</t>
  </si>
  <si>
    <t>El Banco</t>
  </si>
  <si>
    <t>El Piñon</t>
  </si>
  <si>
    <t>El Reten</t>
  </si>
  <si>
    <t>Fundación</t>
  </si>
  <si>
    <t>Guamal</t>
  </si>
  <si>
    <t>Nueva Granada</t>
  </si>
  <si>
    <t>Pedraza</t>
  </si>
  <si>
    <t>Pijino del Carmen</t>
  </si>
  <si>
    <t>Pivijay</t>
  </si>
  <si>
    <t>Plato</t>
  </si>
  <si>
    <t>Puebloviejo</t>
  </si>
  <si>
    <t>Remolino</t>
  </si>
  <si>
    <t>Sabanas De San Ángel</t>
  </si>
  <si>
    <t>San Sebastián De Buenavista</t>
  </si>
  <si>
    <t>San Zenón</t>
  </si>
  <si>
    <t>Santa Ana</t>
  </si>
  <si>
    <t>Santa Bárbara De Pinto</t>
  </si>
  <si>
    <t>SitioNuevo</t>
  </si>
  <si>
    <t>Tenerife</t>
  </si>
  <si>
    <t>Zapayán</t>
  </si>
  <si>
    <t>Zona Bananera</t>
  </si>
  <si>
    <t>Departamento del Meta</t>
  </si>
  <si>
    <t>Villavicencio</t>
  </si>
  <si>
    <t>Acacias</t>
  </si>
  <si>
    <t>Barranca De Upía</t>
  </si>
  <si>
    <t>Cabuyaro</t>
  </si>
  <si>
    <t>Castilla La Nueva</t>
  </si>
  <si>
    <t>Cumaral</t>
  </si>
  <si>
    <t>El Calvario</t>
  </si>
  <si>
    <t>El Castillo</t>
  </si>
  <si>
    <t>El Dorado</t>
  </si>
  <si>
    <t>Fuente De Oro</t>
  </si>
  <si>
    <t>La Macarena</t>
  </si>
  <si>
    <t>La Uribe</t>
  </si>
  <si>
    <t>Lejanías</t>
  </si>
  <si>
    <t>Mapiripán</t>
  </si>
  <si>
    <t>Mesetas</t>
  </si>
  <si>
    <t>Puerto Concordia</t>
  </si>
  <si>
    <t>Puerto Gaitán</t>
  </si>
  <si>
    <t>Puerto Lleras</t>
  </si>
  <si>
    <t>Puerto López</t>
  </si>
  <si>
    <t>Restrepo</t>
  </si>
  <si>
    <t>San Carlos Guaroa</t>
  </si>
  <si>
    <t>San Juan De Arama</t>
  </si>
  <si>
    <t>San Juanito</t>
  </si>
  <si>
    <t>San Luis De Cubarral</t>
  </si>
  <si>
    <t>Vista Hermosa</t>
  </si>
  <si>
    <t>Departamento De Nariño</t>
  </si>
  <si>
    <t>Pasto</t>
  </si>
  <si>
    <t>Aldana</t>
  </si>
  <si>
    <t>Ancuyá</t>
  </si>
  <si>
    <t>Arboleda</t>
  </si>
  <si>
    <t>Barbacoas</t>
  </si>
  <si>
    <t>Buesaco</t>
  </si>
  <si>
    <t>Chachagui</t>
  </si>
  <si>
    <t>Colón</t>
  </si>
  <si>
    <t>Consacá</t>
  </si>
  <si>
    <t>Contadero</t>
  </si>
  <si>
    <t>Cuaspud</t>
  </si>
  <si>
    <t>Cumbal</t>
  </si>
  <si>
    <t>Cumbitará</t>
  </si>
  <si>
    <t>El Charco</t>
  </si>
  <si>
    <t>El Peñol</t>
  </si>
  <si>
    <t>El Rosario</t>
  </si>
  <si>
    <t>El Tablón</t>
  </si>
  <si>
    <t>Francisco Pizarro</t>
  </si>
  <si>
    <t>Funes</t>
  </si>
  <si>
    <t>Guachucal</t>
  </si>
  <si>
    <t>Guaitarilla</t>
  </si>
  <si>
    <t>Gualmatán</t>
  </si>
  <si>
    <t>Iles</t>
  </si>
  <si>
    <t>Imúes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</si>
  <si>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</si>
  <si>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</si>
  <si>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</si>
  <si>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</si>
  <si>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</si>
  <si>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</si>
  <si>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</si>
  <si>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</si>
  <si>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Magüí</t>
  </si>
  <si>
    <t>Mallama</t>
  </si>
  <si>
    <t>Olaya Herrera</t>
  </si>
  <si>
    <t>Ospina</t>
  </si>
  <si>
    <t>Policarpa</t>
  </si>
  <si>
    <t>Potosí</t>
  </si>
  <si>
    <t>Providencia</t>
  </si>
  <si>
    <t>Puerres</t>
  </si>
  <si>
    <t>Pupiales</t>
  </si>
  <si>
    <t>Roberto Payán</t>
  </si>
  <si>
    <t>Samaniego</t>
  </si>
  <si>
    <t>San Lorenzo</t>
  </si>
  <si>
    <t>San Pedro De Cartago</t>
  </si>
  <si>
    <t>Sandoná</t>
  </si>
  <si>
    <t>Santacruz</t>
  </si>
  <si>
    <t>Sapuyés</t>
  </si>
  <si>
    <t>Taminango</t>
  </si>
  <si>
    <t>Tangua</t>
  </si>
  <si>
    <t>Tumaco</t>
  </si>
  <si>
    <t>Túquerres</t>
  </si>
  <si>
    <t>Yacuanquer</t>
  </si>
  <si>
    <t>Departamento del Norte De Santander</t>
  </si>
  <si>
    <t>Cúcuta</t>
  </si>
  <si>
    <t>Abrego</t>
  </si>
  <si>
    <t>Arboledas</t>
  </si>
  <si>
    <t>Bochalema</t>
  </si>
  <si>
    <t>Bucarasica</t>
  </si>
  <si>
    <t>Cáchira</t>
  </si>
  <si>
    <t>Cácota</t>
  </si>
  <si>
    <t>Chinácota</t>
  </si>
  <si>
    <t>Chitagá</t>
  </si>
  <si>
    <t>Convención</t>
  </si>
  <si>
    <t>Cucutilla</t>
  </si>
  <si>
    <t>Durania</t>
  </si>
  <si>
    <t>El Carmen</t>
  </si>
  <si>
    <t>El Tarra</t>
  </si>
  <si>
    <t>El Zulia</t>
  </si>
  <si>
    <t>Gramalote</t>
  </si>
  <si>
    <t>Hacarí</t>
  </si>
  <si>
    <t>Herrán</t>
  </si>
  <si>
    <t>La Esperanza</t>
  </si>
  <si>
    <t>La Playa</t>
  </si>
  <si>
    <t>Labateca</t>
  </si>
  <si>
    <t>Los Patios</t>
  </si>
  <si>
    <t>Lourdes</t>
  </si>
  <si>
    <t>Mutiscua</t>
  </si>
  <si>
    <t>Ocaña</t>
  </si>
  <si>
    <t>Pamplona</t>
  </si>
  <si>
    <t>Pamplonita</t>
  </si>
  <si>
    <t>Ragonvalia</t>
  </si>
  <si>
    <t>Salazar</t>
  </si>
  <si>
    <t>San Calixto</t>
  </si>
  <si>
    <t>Santiago</t>
  </si>
  <si>
    <t>Sardinata</t>
  </si>
  <si>
    <t>Silos</t>
  </si>
  <si>
    <t>Teorama</t>
  </si>
  <si>
    <t>Tibú</t>
  </si>
  <si>
    <t>Villa Caro</t>
  </si>
  <si>
    <t>Villa del Rosario</t>
  </si>
  <si>
    <t>Departamento del Putumayo</t>
  </si>
  <si>
    <t>Mocoa</t>
  </si>
  <si>
    <t>Orito</t>
  </si>
  <si>
    <t>Puerto Asís</t>
  </si>
  <si>
    <t>Puerto Caicedo</t>
  </si>
  <si>
    <t>Puerto Guzmán</t>
  </si>
  <si>
    <t>Puerto Leguízamo</t>
  </si>
  <si>
    <t>San Miguel</t>
  </si>
  <si>
    <t>Sibundoy</t>
  </si>
  <si>
    <t>Valle del Guamuez</t>
  </si>
  <si>
    <t>Villagarzón</t>
  </si>
  <si>
    <t>Departamento del Quindío</t>
  </si>
  <si>
    <t>Calarcá</t>
  </si>
  <si>
    <t>Circasia</t>
  </si>
  <si>
    <t>Filandia</t>
  </si>
  <si>
    <t>Génova</t>
  </si>
  <si>
    <t>La Tebaida</t>
  </si>
  <si>
    <t>Montenegro</t>
  </si>
  <si>
    <t>Pijáo</t>
  </si>
  <si>
    <t>Quimbaya</t>
  </si>
  <si>
    <t>Salento</t>
  </si>
  <si>
    <t>Departamento De Risaralda</t>
  </si>
  <si>
    <t>Pereira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</si>
  <si>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</si>
  <si>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</si>
  <si>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</si>
  <si>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</si>
  <si>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</si>
  <si>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</si>
  <si>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</si>
  <si>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</si>
  <si>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Pueblo Rico</t>
  </si>
  <si>
    <t>Quinchía</t>
  </si>
  <si>
    <t>Santa Rosa De Cabal</t>
  </si>
  <si>
    <t>Departamento De Santander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</si>
  <si>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</si>
  <si>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</si>
  <si>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</si>
  <si>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</si>
  <si>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</si>
  <si>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</si>
  <si>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</si>
  <si>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Carcasi</t>
  </si>
  <si>
    <t>Cepitá</t>
  </si>
  <si>
    <t>Cerrito</t>
  </si>
  <si>
    <t>Charalá</t>
  </si>
  <si>
    <t>Charta</t>
  </si>
  <si>
    <t>Chima</t>
  </si>
  <si>
    <t>Chipatá</t>
  </si>
  <si>
    <t>Cimitarra</t>
  </si>
  <si>
    <t>Confines</t>
  </si>
  <si>
    <t>Contratación</t>
  </si>
  <si>
    <t>Coromoro</t>
  </si>
  <si>
    <t>Curití</t>
  </si>
  <si>
    <t>El Carmen De Chucurí</t>
  </si>
  <si>
    <t>El Florian</t>
  </si>
  <si>
    <t>El Guacamayo</t>
  </si>
  <si>
    <t>El Playón</t>
  </si>
  <si>
    <t>Encino</t>
  </si>
  <si>
    <t>Enciso</t>
  </si>
  <si>
    <t>Floridablanca</t>
  </si>
  <si>
    <t>Galán</t>
  </si>
  <si>
    <t>Gámbita</t>
  </si>
  <si>
    <t>Goepsa</t>
  </si>
  <si>
    <t>Girón</t>
  </si>
  <si>
    <t>Guaca</t>
  </si>
  <si>
    <t>Guapotá</t>
  </si>
  <si>
    <t>Guavatá</t>
  </si>
  <si>
    <t>Hato</t>
  </si>
  <si>
    <t>Jesús Maria</t>
  </si>
  <si>
    <t>Jordán</t>
  </si>
  <si>
    <t>La Belleza</t>
  </si>
  <si>
    <t>Landázuri</t>
  </si>
  <si>
    <t>Lebrija</t>
  </si>
  <si>
    <t>Los Santos</t>
  </si>
  <si>
    <t>Macaravita</t>
  </si>
  <si>
    <t>Málaga</t>
  </si>
  <si>
    <t>Matanza</t>
  </si>
  <si>
    <t>Mogotes</t>
  </si>
  <si>
    <t>Molagavita</t>
  </si>
  <si>
    <t>Ocamonte</t>
  </si>
  <si>
    <t>Oiba</t>
  </si>
  <si>
    <t>Onzága</t>
  </si>
  <si>
    <t>Palmar</t>
  </si>
  <si>
    <t>Palmas del Socorro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</si>
  <si>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</si>
  <si>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</si>
  <si>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</si>
  <si>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</si>
  <si>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</si>
  <si>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</si>
  <si>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</si>
  <si>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</si>
  <si>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</si>
  <si>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Joaquín</t>
  </si>
  <si>
    <t>San José De Miranda</t>
  </si>
  <si>
    <t>San Vicente De Chucurí</t>
  </si>
  <si>
    <t>Santa Helena del Opón</t>
  </si>
  <si>
    <t>Simacota</t>
  </si>
  <si>
    <t>Socorro</t>
  </si>
  <si>
    <t>Suaita</t>
  </si>
  <si>
    <t>Suratá</t>
  </si>
  <si>
    <t>Tona</t>
  </si>
  <si>
    <t>Valle San José</t>
  </si>
  <si>
    <t>Vélez</t>
  </si>
  <si>
    <t>Vetas</t>
  </si>
  <si>
    <t>Zapatoca</t>
  </si>
  <si>
    <t>Departamento De Sucre</t>
  </si>
  <si>
    <t>Sincelejo</t>
  </si>
  <si>
    <t>Caimito</t>
  </si>
  <si>
    <t>Chalán</t>
  </si>
  <si>
    <t>Coloso</t>
  </si>
  <si>
    <t>Corozal</t>
  </si>
  <si>
    <t>El Roble</t>
  </si>
  <si>
    <t>Galeras</t>
  </si>
  <si>
    <t>Guarandá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</si>
  <si>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</si>
  <si>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</si>
  <si>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</si>
  <si>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</si>
  <si>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</si>
  <si>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</si>
  <si>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</si>
  <si>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Betulia</t>
  </si>
  <si>
    <t>San Marcos</t>
  </si>
  <si>
    <t>San Onofre</t>
  </si>
  <si>
    <t>Sincé</t>
  </si>
  <si>
    <t>Tolú</t>
  </si>
  <si>
    <t>Toluviejo</t>
  </si>
  <si>
    <t>Departamento del Tolima</t>
  </si>
  <si>
    <t>Ibagué</t>
  </si>
  <si>
    <t>Alpujarra</t>
  </si>
  <si>
    <t>Alvarado</t>
  </si>
  <si>
    <t>Ambalema</t>
  </si>
  <si>
    <t>Anzoátegui</t>
  </si>
  <si>
    <t>Armero</t>
  </si>
  <si>
    <t>Ataco</t>
  </si>
  <si>
    <t>Cajamarca</t>
  </si>
  <si>
    <t>Carmen Apicalá</t>
  </si>
  <si>
    <t>Casabianca</t>
  </si>
  <si>
    <t>Chaparral</t>
  </si>
  <si>
    <t>Coello</t>
  </si>
  <si>
    <t>Coyaima</t>
  </si>
  <si>
    <t>Cunday</t>
  </si>
  <si>
    <t>Dolores</t>
  </si>
  <si>
    <t>Espinal</t>
  </si>
  <si>
    <t>Falán</t>
  </si>
  <si>
    <t>Flandes</t>
  </si>
  <si>
    <t>Fresno</t>
  </si>
  <si>
    <t>Guamo</t>
  </si>
  <si>
    <t>Hervéo</t>
  </si>
  <si>
    <t>Honda</t>
  </si>
  <si>
    <t>Icononzo</t>
  </si>
  <si>
    <t>Lérida</t>
  </si>
  <si>
    <t>Líbano</t>
  </si>
  <si>
    <t>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</si>
  <si>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</si>
  <si>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</si>
  <si>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</si>
  <si>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</si>
  <si>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</si>
  <si>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</si>
  <si>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</si>
  <si>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</si>
  <si>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</si>
  <si>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</si>
  <si>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</si>
  <si>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</si>
  <si>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</si>
  <si>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</si>
  <si>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</si>
  <si>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</si>
  <si>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</si>
  <si>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</si>
  <si>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</si>
  <si>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Departamento del Valle</t>
  </si>
  <si>
    <t>Cali</t>
  </si>
  <si>
    <t>Alcalá</t>
  </si>
  <si>
    <t>Andalucía</t>
  </si>
  <si>
    <t>AnsermaNuevo</t>
  </si>
  <si>
    <t>Buenaventura</t>
  </si>
  <si>
    <t>Buga</t>
  </si>
  <si>
    <t>Bugalagrande</t>
  </si>
  <si>
    <t>Caicedonia</t>
  </si>
  <si>
    <t>Calima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</si>
  <si>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</si>
  <si>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</si>
  <si>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</si>
  <si>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</si>
  <si>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</si>
  <si>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</si>
  <si>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</si>
  <si>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</si>
  <si>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</si>
  <si>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Jamundí</t>
  </si>
  <si>
    <t>La Cumbre</t>
  </si>
  <si>
    <t>Obando</t>
  </si>
  <si>
    <t>Palmira</t>
  </si>
  <si>
    <t>Pradera</t>
  </si>
  <si>
    <t>Riofrío</t>
  </si>
  <si>
    <t>Roldanillo</t>
  </si>
  <si>
    <t>SeVilla</t>
  </si>
  <si>
    <t>Toro</t>
  </si>
  <si>
    <t>Trujillo</t>
  </si>
  <si>
    <t>Tuluá</t>
  </si>
  <si>
    <t>Ulloa</t>
  </si>
  <si>
    <t>Versalles</t>
  </si>
  <si>
    <t>Vijes</t>
  </si>
  <si>
    <t>Yotocó</t>
  </si>
  <si>
    <t>Yumbo</t>
  </si>
  <si>
    <t>Zarzal</t>
  </si>
  <si>
    <t>Departamento del Vaupés</t>
  </si>
  <si>
    <t>Mitú</t>
  </si>
  <si>
    <t>Carurú</t>
  </si>
  <si>
    <t>Pacoa</t>
  </si>
  <si>
    <t>Papunahua</t>
  </si>
  <si>
    <t>Taraira</t>
  </si>
  <si>
    <t>Yavarate</t>
  </si>
  <si>
    <t>Departamento del Vichada</t>
  </si>
  <si>
    <t>Puerto Carreño</t>
  </si>
  <si>
    <t>Cumaribo</t>
  </si>
  <si>
    <t>La Primavera</t>
  </si>
  <si>
    <t>Santa Rosalía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</si>
</sst>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8.5"/>
      <color theme="1"/>
      <name val="Arial Narrow"/>
      <family val="2"/>
    </font>
    <font>
      <b/>
      <sz val="11.5"/>
      <color theme="1"/>
      <name val="Arial Narrow"/>
      <family val="2"/>
    </font>
    <font>
      <b/>
      <sz val="7.5"/>
      <color theme="1"/>
      <name val="Arial Narrow"/>
      <family val="2"/>
    </font>
    <font>
      <sz val="11"/>
      <color theme="1"/>
      <name val="Arial Narrow"/>
      <family val="2"/>
    </font>
    <font>
      <b/>
      <sz val="10.5"/>
      <color theme="1"/>
      <name val="Arial Narrow"/>
      <family val="2"/>
    </font>
    <font>
      <sz val="8.5"/>
      <color theme="1"/>
      <name val="Arial Narrow"/>
      <family val="2"/>
    </font>
    <font>
      <b/>
      <sz val="8.5"/>
      <color rgb="FFFF0000"/>
      <name val="Arial Narrow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0" xfId="0" applyFont="1"/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4" fillId="0" borderId="11" xfId="0" applyFont="1" applyBorder="1"/>
    <xf numFmtId="0" fontId="1" fillId="0" borderId="12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0" fontId="6" fillId="0" borderId="19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0" fontId="6" fillId="0" borderId="23" xfId="0" applyFont="1" applyBorder="1" applyAlignment="1">
      <alignment horizontal="left" vertical="top" wrapText="1"/>
    </xf>
    <xf numFmtId="0" fontId="6" fillId="0" borderId="24" xfId="0" applyFont="1" applyBorder="1" applyAlignment="1">
      <alignment horizontal="left" vertical="top" wrapText="1"/>
    </xf>
    <xf numFmtId="0" fontId="6" fillId="0" borderId="25" xfId="0" applyFont="1" applyBorder="1" applyAlignment="1">
      <alignment horizontal="left" vertical="top" wrapText="1"/>
    </xf>
    <xf numFmtId="0" fontId="6" fillId="0" borderId="26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28" xfId="0" applyFont="1" applyBorder="1" applyAlignment="1">
      <alignment horizontal="left" vertical="top" wrapText="1"/>
    </xf>
    <xf numFmtId="0" fontId="6" fillId="0" borderId="28" xfId="0" applyFont="1" applyBorder="1" applyAlignment="1">
      <alignment horizontal="left" vertical="top" wrapText="1"/>
    </xf>
    <xf numFmtId="0" fontId="6" fillId="0" borderId="29" xfId="0" applyFont="1" applyBorder="1" applyAlignment="1">
      <alignment horizontal="left" vertical="top" wrapText="1"/>
    </xf>
    <xf numFmtId="0" fontId="6" fillId="0" borderId="30" xfId="0" applyFont="1" applyBorder="1" applyAlignment="1">
      <alignment horizontal="left" vertical="top" wrapText="1"/>
    </xf>
    <xf numFmtId="0" fontId="6" fillId="0" borderId="31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6" fillId="0" borderId="32" xfId="0" applyFont="1" applyBorder="1" applyAlignment="1">
      <alignment horizontal="left" vertical="top" wrapText="1"/>
    </xf>
    <xf numFmtId="0" fontId="6" fillId="0" borderId="33" xfId="0" applyFont="1" applyBorder="1" applyAlignment="1">
      <alignment horizontal="left" vertical="top" wrapText="1"/>
    </xf>
    <xf numFmtId="0" fontId="6" fillId="0" borderId="34" xfId="0" applyFont="1" applyBorder="1" applyAlignment="1">
      <alignment horizontal="left" vertical="top" wrapText="1"/>
    </xf>
    <xf numFmtId="0" fontId="6" fillId="0" borderId="35" xfId="0" applyFont="1" applyBorder="1" applyAlignment="1">
      <alignment horizontal="left" vertical="top" wrapText="1"/>
    </xf>
    <xf numFmtId="0" fontId="6" fillId="0" borderId="36" xfId="0" applyFont="1" applyBorder="1" applyAlignment="1">
      <alignment horizontal="left" vertical="top" wrapText="1"/>
    </xf>
    <xf numFmtId="0" fontId="5" fillId="0" borderId="37" xfId="0" applyFont="1" applyBorder="1" applyAlignment="1">
      <alignment horizontal="left" vertical="top" wrapText="1"/>
    </xf>
    <xf numFmtId="0" fontId="5" fillId="0" borderId="38" xfId="0" applyFont="1" applyBorder="1" applyAlignment="1">
      <alignment horizontal="left" vertical="top" wrapText="1"/>
    </xf>
    <xf numFmtId="0" fontId="5" fillId="0" borderId="39" xfId="0" applyFont="1" applyBorder="1" applyAlignment="1">
      <alignment horizontal="left" vertical="top" wrapText="1"/>
    </xf>
    <xf numFmtId="0" fontId="5" fillId="0" borderId="40" xfId="0" applyFont="1" applyBorder="1" applyAlignment="1">
      <alignment horizontal="left" vertical="top" wrapText="1"/>
    </xf>
    <xf numFmtId="0" fontId="5" fillId="0" borderId="41" xfId="0" applyFont="1" applyBorder="1" applyAlignment="1">
      <alignment horizontal="left" vertical="top" wrapText="1"/>
    </xf>
    <xf numFmtId="0" fontId="1" fillId="0" borderId="42" xfId="0" applyFont="1" applyBorder="1" applyAlignment="1">
      <alignment horizontal="left" vertical="top" wrapText="1"/>
    </xf>
    <xf numFmtId="0" fontId="1" fillId="0" borderId="43" xfId="0" applyFont="1" applyBorder="1" applyAlignment="1">
      <alignment horizontal="left" vertical="top" wrapText="1"/>
    </xf>
    <xf numFmtId="0" fontId="6" fillId="0" borderId="44" xfId="0" applyFont="1" applyBorder="1" applyAlignment="1">
      <alignment horizontal="left" vertical="top" wrapText="1"/>
    </xf>
    <xf numFmtId="0" fontId="6" fillId="0" borderId="45" xfId="0" applyFont="1" applyBorder="1" applyAlignment="1">
      <alignment horizontal="left" vertical="top" wrapText="1"/>
    </xf>
    <xf numFmtId="0" fontId="6" fillId="0" borderId="46" xfId="0" applyFont="1" applyBorder="1" applyAlignment="1">
      <alignment horizontal="left" vertical="top" wrapText="1"/>
    </xf>
    <xf numFmtId="0" fontId="1" fillId="0" borderId="37" xfId="0" applyFont="1" applyBorder="1" applyAlignment="1">
      <alignment horizontal="left" vertical="top" wrapText="1"/>
    </xf>
    <xf numFmtId="0" fontId="1" fillId="0" borderId="38" xfId="0" applyFont="1" applyBorder="1" applyAlignment="1">
      <alignment horizontal="left" vertical="top" wrapText="1"/>
    </xf>
    <xf numFmtId="0" fontId="6" fillId="0" borderId="39" xfId="0" applyFont="1" applyBorder="1" applyAlignment="1">
      <alignment horizontal="left" vertical="top" wrapText="1"/>
    </xf>
    <xf numFmtId="0" fontId="6" fillId="0" borderId="40" xfId="0" applyFont="1" applyBorder="1" applyAlignment="1">
      <alignment horizontal="left" vertical="top" wrapText="1"/>
    </xf>
    <xf numFmtId="0" fontId="6" fillId="0" borderId="41" xfId="0" applyFont="1" applyBorder="1" applyAlignment="1">
      <alignment horizontal="left" vertical="top" wrapText="1"/>
    </xf>
    <xf numFmtId="0" fontId="6" fillId="0" borderId="37" xfId="0" applyFont="1" applyBorder="1" applyAlignment="1">
      <alignment horizontal="left" vertical="top" wrapText="1"/>
    </xf>
    <xf numFmtId="0" fontId="6" fillId="0" borderId="38" xfId="0" applyFont="1" applyBorder="1" applyAlignment="1">
      <alignment horizontal="left" vertical="top" wrapText="1"/>
    </xf>
    <xf numFmtId="0" fontId="6" fillId="0" borderId="37" xfId="0" applyFont="1" applyBorder="1" applyAlignment="1">
      <alignment horizontal="justify" vertical="top" wrapText="1"/>
    </xf>
    <xf numFmtId="0" fontId="6" fillId="0" borderId="38" xfId="0" applyFont="1" applyBorder="1" applyAlignment="1">
      <alignment horizontal="justify" vertical="top" wrapText="1"/>
    </xf>
    <xf numFmtId="0" fontId="6" fillId="0" borderId="39" xfId="0" applyFont="1" applyBorder="1" applyAlignment="1">
      <alignment horizontal="justify" vertical="top" wrapText="1"/>
    </xf>
    <xf numFmtId="0" fontId="6" fillId="0" borderId="40" xfId="0" applyFont="1" applyBorder="1" applyAlignment="1">
      <alignment horizontal="justify" vertical="top" wrapText="1"/>
    </xf>
    <xf numFmtId="0" fontId="6" fillId="0" borderId="41" xfId="0" applyFont="1" applyBorder="1" applyAlignment="1">
      <alignment horizontal="justify" vertical="top" wrapText="1"/>
    </xf>
    <xf numFmtId="0" fontId="4" fillId="0" borderId="47" xfId="0" applyFont="1" applyBorder="1"/>
    <xf numFmtId="0" fontId="4" fillId="0" borderId="48" xfId="0" applyFont="1" applyBorder="1"/>
    <xf numFmtId="0" fontId="4" fillId="0" borderId="4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63D5F-77B4-433C-A180-A413175828C8}">
  <dimension ref="A1:L1152"/>
  <sheetViews>
    <sheetView showGridLines="0" tabSelected="1" workbookViewId="0">
      <pane ySplit="1" topLeftCell="A2" activePane="bottomLeft" state="frozen"/>
      <selection pane="bottomLeft" activeCell="N2" sqref="N2"/>
    </sheetView>
  </sheetViews>
  <sheetFormatPr baseColWidth="10" defaultRowHeight="16.5" x14ac:dyDescent="0.3"/>
  <cols>
    <col min="1" max="1" width="42.28515625" style="7" customWidth="1"/>
    <col min="2" max="2" width="1.85546875" style="7" customWidth="1"/>
    <col min="3" max="3" width="15.85546875" style="7" bestFit="1" customWidth="1"/>
    <col min="4" max="4" width="42.28515625" style="7" customWidth="1"/>
    <col min="5" max="5" width="8.5703125" style="65" bestFit="1" customWidth="1"/>
    <col min="6" max="7" width="3.5703125" style="66" bestFit="1" customWidth="1"/>
    <col min="8" max="8" width="8" style="66" bestFit="1" customWidth="1"/>
    <col min="9" max="9" width="3.5703125" style="66" bestFit="1" customWidth="1"/>
    <col min="10" max="10" width="3.5703125" style="67" bestFit="1" customWidth="1"/>
    <col min="11" max="11" width="11.85546875" style="7" bestFit="1" customWidth="1"/>
    <col min="12" max="16384" width="11.42578125" style="7"/>
  </cols>
  <sheetData>
    <row r="1" spans="1:12" ht="39" thickBot="1" x14ac:dyDescent="0.35">
      <c r="A1" s="1" t="s">
        <v>0</v>
      </c>
      <c r="B1" s="2"/>
      <c r="C1" s="2"/>
      <c r="D1" s="2" t="s">
        <v>1</v>
      </c>
      <c r="E1" s="3" t="s">
        <v>2</v>
      </c>
      <c r="F1" s="4" t="s">
        <v>3</v>
      </c>
      <c r="G1" s="4" t="s">
        <v>4</v>
      </c>
      <c r="H1" s="5" t="s">
        <v>5</v>
      </c>
      <c r="I1" s="4" t="s">
        <v>6</v>
      </c>
      <c r="J1" s="6" t="s">
        <v>7</v>
      </c>
    </row>
    <row r="2" spans="1:12" ht="17.25" thickBot="1" x14ac:dyDescent="0.35">
      <c r="A2" s="8" t="s">
        <v>8</v>
      </c>
      <c r="B2" s="9">
        <f>IFERROR(FIND("Departamento",A2),0)</f>
        <v>1</v>
      </c>
      <c r="C2" s="10" t="str">
        <f>IF(B2=1,IF(ISERROR(FIND("del",A2)),MID(A2,17,30),MID(A2,18,30)),C1)</f>
        <v>Amazonas</v>
      </c>
      <c r="D2" s="9" t="str">
        <f>IF(B2=1,"",CONCATENATE(A2,", ",C2))</f>
        <v/>
      </c>
      <c r="E2" s="11"/>
      <c r="F2" s="12"/>
      <c r="G2" s="12"/>
      <c r="H2" s="12"/>
      <c r="I2" s="12"/>
      <c r="J2" s="13"/>
      <c r="K2" s="7">
        <v>1</v>
      </c>
      <c r="L2" s="14" t="s">
        <v>9</v>
      </c>
    </row>
    <row r="3" spans="1:12" x14ac:dyDescent="0.3">
      <c r="A3" s="15" t="s">
        <v>10</v>
      </c>
      <c r="B3" s="16">
        <f t="shared" ref="B3:B66" si="0">IFERROR(FIND("Departamento",A3),0)</f>
        <v>0</v>
      </c>
      <c r="C3" s="17" t="str">
        <f t="shared" ref="C3:C66" si="1">IF(B3=1,IF(ISERROR(FIND("del",A3)),MID(A3,17,30),MID(A3,18,30)),C2)</f>
        <v>Amazonas</v>
      </c>
      <c r="D3" s="17" t="str">
        <f t="shared" ref="D3:D66" si="2">IF(B3=1,"",CONCATENATE(A3,", ",C3))</f>
        <v>Leticia, Amazonas</v>
      </c>
      <c r="E3" s="18">
        <v>91001</v>
      </c>
      <c r="F3" s="19">
        <v>0.05</v>
      </c>
      <c r="G3" s="19">
        <v>0.05</v>
      </c>
      <c r="H3" s="19" t="s">
        <v>11</v>
      </c>
      <c r="I3" s="19">
        <v>0.04</v>
      </c>
      <c r="J3" s="20">
        <v>0.02</v>
      </c>
      <c r="K3" s="7">
        <v>2</v>
      </c>
      <c r="L3" s="14" t="s">
        <v>12</v>
      </c>
    </row>
    <row r="4" spans="1:12" x14ac:dyDescent="0.3">
      <c r="A4" s="21" t="s">
        <v>13</v>
      </c>
      <c r="B4" s="22">
        <f t="shared" si="0"/>
        <v>0</v>
      </c>
      <c r="C4" s="22" t="str">
        <f t="shared" si="1"/>
        <v>Amazonas</v>
      </c>
      <c r="D4" s="22" t="str">
        <f t="shared" si="2"/>
        <v>El Encanto, Amazonas</v>
      </c>
      <c r="E4" s="23">
        <v>91263</v>
      </c>
      <c r="F4" s="24">
        <v>0.05</v>
      </c>
      <c r="G4" s="24">
        <v>0.05</v>
      </c>
      <c r="H4" s="24" t="s">
        <v>11</v>
      </c>
      <c r="I4" s="24">
        <v>0.04</v>
      </c>
      <c r="J4" s="25">
        <v>0.02</v>
      </c>
      <c r="K4" s="7">
        <v>3</v>
      </c>
      <c r="L4" s="14" t="s">
        <v>14</v>
      </c>
    </row>
    <row r="5" spans="1:12" x14ac:dyDescent="0.3">
      <c r="A5" s="21" t="s">
        <v>15</v>
      </c>
      <c r="B5" s="22">
        <f t="shared" si="0"/>
        <v>0</v>
      </c>
      <c r="C5" s="22" t="str">
        <f t="shared" si="1"/>
        <v>Amazonas</v>
      </c>
      <c r="D5" s="22" t="str">
        <f t="shared" si="2"/>
        <v>La Chorrera, Amazonas</v>
      </c>
      <c r="E5" s="23">
        <v>91405</v>
      </c>
      <c r="F5" s="24">
        <v>0.05</v>
      </c>
      <c r="G5" s="24">
        <v>0.05</v>
      </c>
      <c r="H5" s="24" t="s">
        <v>11</v>
      </c>
      <c r="I5" s="24">
        <v>0.04</v>
      </c>
      <c r="J5" s="25">
        <v>0.02</v>
      </c>
      <c r="K5" s="7">
        <v>4</v>
      </c>
      <c r="L5" s="14" t="s">
        <v>16</v>
      </c>
    </row>
    <row r="6" spans="1:12" x14ac:dyDescent="0.3">
      <c r="A6" s="21" t="s">
        <v>17</v>
      </c>
      <c r="B6" s="22">
        <f t="shared" si="0"/>
        <v>0</v>
      </c>
      <c r="C6" s="22" t="str">
        <f t="shared" si="1"/>
        <v>Amazonas</v>
      </c>
      <c r="D6" s="22" t="str">
        <f t="shared" si="2"/>
        <v>La Pedrera, Amazonas</v>
      </c>
      <c r="E6" s="23">
        <v>91407</v>
      </c>
      <c r="F6" s="24">
        <v>0.05</v>
      </c>
      <c r="G6" s="24">
        <v>0.05</v>
      </c>
      <c r="H6" s="24" t="s">
        <v>11</v>
      </c>
      <c r="I6" s="24">
        <v>0.04</v>
      </c>
      <c r="J6" s="25">
        <v>0.02</v>
      </c>
      <c r="K6" s="7">
        <v>5</v>
      </c>
      <c r="L6" s="14" t="s">
        <v>18</v>
      </c>
    </row>
    <row r="7" spans="1:12" x14ac:dyDescent="0.3">
      <c r="A7" s="21" t="s">
        <v>19</v>
      </c>
      <c r="B7" s="22">
        <f t="shared" si="0"/>
        <v>0</v>
      </c>
      <c r="C7" s="22" t="str">
        <f t="shared" si="1"/>
        <v>Amazonas</v>
      </c>
      <c r="D7" s="22" t="str">
        <f t="shared" si="2"/>
        <v>La Victoria, Amazonas</v>
      </c>
      <c r="E7" s="23">
        <v>91430</v>
      </c>
      <c r="F7" s="24">
        <v>0.05</v>
      </c>
      <c r="G7" s="24">
        <v>0.05</v>
      </c>
      <c r="H7" s="24" t="s">
        <v>11</v>
      </c>
      <c r="I7" s="24">
        <v>0.04</v>
      </c>
      <c r="J7" s="25">
        <v>0.02</v>
      </c>
      <c r="K7" s="7">
        <v>6</v>
      </c>
      <c r="L7" s="14" t="s">
        <v>20</v>
      </c>
    </row>
    <row r="8" spans="1:12" x14ac:dyDescent="0.3">
      <c r="A8" s="21" t="s">
        <v>21</v>
      </c>
      <c r="B8" s="22">
        <f t="shared" si="0"/>
        <v>0</v>
      </c>
      <c r="C8" s="22" t="str">
        <f t="shared" si="1"/>
        <v>Amazonas</v>
      </c>
      <c r="D8" s="22" t="str">
        <f t="shared" si="2"/>
        <v>Mirití-Paraná, Amazonas</v>
      </c>
      <c r="E8" s="23">
        <v>91460</v>
      </c>
      <c r="F8" s="24">
        <v>0.05</v>
      </c>
      <c r="G8" s="24">
        <v>0.05</v>
      </c>
      <c r="H8" s="24" t="s">
        <v>11</v>
      </c>
      <c r="I8" s="24">
        <v>0.04</v>
      </c>
      <c r="J8" s="25">
        <v>0.02</v>
      </c>
      <c r="K8" s="7">
        <v>7</v>
      </c>
      <c r="L8" s="14" t="s">
        <v>22</v>
      </c>
    </row>
    <row r="9" spans="1:12" x14ac:dyDescent="0.3">
      <c r="A9" s="21" t="s">
        <v>23</v>
      </c>
      <c r="B9" s="22">
        <f t="shared" si="0"/>
        <v>0</v>
      </c>
      <c r="C9" s="22" t="str">
        <f t="shared" si="1"/>
        <v>Amazonas</v>
      </c>
      <c r="D9" s="22" t="str">
        <f t="shared" si="2"/>
        <v>Puerto Alegría, Amazonas</v>
      </c>
      <c r="E9" s="23">
        <v>91530</v>
      </c>
      <c r="F9" s="24">
        <v>0.05</v>
      </c>
      <c r="G9" s="24">
        <v>0.05</v>
      </c>
      <c r="H9" s="24" t="s">
        <v>11</v>
      </c>
      <c r="I9" s="24">
        <v>0.04</v>
      </c>
      <c r="J9" s="25">
        <v>0.02</v>
      </c>
      <c r="K9" s="7">
        <v>8</v>
      </c>
      <c r="L9" s="14" t="s">
        <v>24</v>
      </c>
    </row>
    <row r="10" spans="1:12" x14ac:dyDescent="0.3">
      <c r="A10" s="21" t="s">
        <v>25</v>
      </c>
      <c r="B10" s="22">
        <f t="shared" si="0"/>
        <v>0</v>
      </c>
      <c r="C10" s="22" t="str">
        <f t="shared" si="1"/>
        <v>Amazonas</v>
      </c>
      <c r="D10" s="22" t="str">
        <f t="shared" si="2"/>
        <v>Puerto Arica, Amazonas</v>
      </c>
      <c r="E10" s="23">
        <v>91536</v>
      </c>
      <c r="F10" s="24">
        <v>0.05</v>
      </c>
      <c r="G10" s="24">
        <v>0.05</v>
      </c>
      <c r="H10" s="24" t="s">
        <v>11</v>
      </c>
      <c r="I10" s="24">
        <v>0.04</v>
      </c>
      <c r="J10" s="25">
        <v>0.02</v>
      </c>
      <c r="K10" s="7">
        <v>9</v>
      </c>
      <c r="L10" s="14" t="s">
        <v>26</v>
      </c>
    </row>
    <row r="11" spans="1:12" x14ac:dyDescent="0.3">
      <c r="A11" s="21" t="s">
        <v>27</v>
      </c>
      <c r="B11" s="22">
        <f t="shared" si="0"/>
        <v>0</v>
      </c>
      <c r="C11" s="22" t="str">
        <f t="shared" si="1"/>
        <v>Amazonas</v>
      </c>
      <c r="D11" s="22" t="str">
        <f t="shared" si="2"/>
        <v>Puerto Nariño, Amazonas</v>
      </c>
      <c r="E11" s="23">
        <v>91540</v>
      </c>
      <c r="F11" s="24">
        <v>0.05</v>
      </c>
      <c r="G11" s="24">
        <v>0.05</v>
      </c>
      <c r="H11" s="24" t="s">
        <v>11</v>
      </c>
      <c r="I11" s="24">
        <v>0.04</v>
      </c>
      <c r="J11" s="25">
        <v>0.02</v>
      </c>
      <c r="K11" s="7">
        <v>10</v>
      </c>
      <c r="L11" s="14" t="s">
        <v>28</v>
      </c>
    </row>
    <row r="12" spans="1:12" x14ac:dyDescent="0.3">
      <c r="A12" s="21" t="s">
        <v>29</v>
      </c>
      <c r="B12" s="22">
        <f t="shared" si="0"/>
        <v>0</v>
      </c>
      <c r="C12" s="22" t="str">
        <f t="shared" si="1"/>
        <v>Amazonas</v>
      </c>
      <c r="D12" s="22" t="str">
        <f t="shared" si="2"/>
        <v>Puerto Santander, Amazonas</v>
      </c>
      <c r="E12" s="23">
        <v>91669</v>
      </c>
      <c r="F12" s="24">
        <v>0.05</v>
      </c>
      <c r="G12" s="24">
        <v>0.05</v>
      </c>
      <c r="H12" s="24" t="s">
        <v>11</v>
      </c>
      <c r="I12" s="24">
        <v>0.04</v>
      </c>
      <c r="J12" s="25">
        <v>0.02</v>
      </c>
      <c r="K12" s="7">
        <v>11</v>
      </c>
      <c r="L12" s="14" t="s">
        <v>30</v>
      </c>
    </row>
    <row r="13" spans="1:12" ht="17.25" thickBot="1" x14ac:dyDescent="0.35">
      <c r="A13" s="26" t="s">
        <v>31</v>
      </c>
      <c r="B13" s="27">
        <f t="shared" si="0"/>
        <v>0</v>
      </c>
      <c r="C13" s="27" t="str">
        <f t="shared" si="1"/>
        <v>Amazonas</v>
      </c>
      <c r="D13" s="27" t="str">
        <f t="shared" si="2"/>
        <v>Tarapacá, Amazonas</v>
      </c>
      <c r="E13" s="28">
        <v>91798</v>
      </c>
      <c r="F13" s="29">
        <v>0.05</v>
      </c>
      <c r="G13" s="29">
        <v>0.05</v>
      </c>
      <c r="H13" s="29" t="s">
        <v>11</v>
      </c>
      <c r="I13" s="29">
        <v>0.04</v>
      </c>
      <c r="J13" s="30">
        <v>0.02</v>
      </c>
      <c r="K13" s="7">
        <v>12</v>
      </c>
      <c r="L13" s="14" t="s">
        <v>32</v>
      </c>
    </row>
    <row r="14" spans="1:12" ht="17.25" thickBot="1" x14ac:dyDescent="0.35">
      <c r="A14" s="8" t="s">
        <v>33</v>
      </c>
      <c r="B14" s="9">
        <f t="shared" si="0"/>
        <v>1</v>
      </c>
      <c r="C14" s="10" t="str">
        <f t="shared" si="1"/>
        <v>Antioquia</v>
      </c>
      <c r="D14" s="9" t="str">
        <f t="shared" si="2"/>
        <v/>
      </c>
      <c r="E14" s="11"/>
      <c r="F14" s="12"/>
      <c r="G14" s="12"/>
      <c r="H14" s="12"/>
      <c r="I14" s="12"/>
      <c r="J14" s="13"/>
      <c r="K14" s="7">
        <v>13</v>
      </c>
      <c r="L14" s="14" t="s">
        <v>34</v>
      </c>
    </row>
    <row r="15" spans="1:12" x14ac:dyDescent="0.3">
      <c r="A15" s="31" t="s">
        <v>35</v>
      </c>
      <c r="B15" s="32">
        <f t="shared" si="0"/>
        <v>0</v>
      </c>
      <c r="C15" s="33" t="str">
        <f t="shared" si="1"/>
        <v>Antioquia</v>
      </c>
      <c r="D15" s="32" t="str">
        <f t="shared" si="2"/>
        <v>Medellín, Antioquia</v>
      </c>
      <c r="E15" s="34">
        <v>5001</v>
      </c>
      <c r="F15" s="35">
        <v>0.15</v>
      </c>
      <c r="G15" s="35">
        <v>0.2</v>
      </c>
      <c r="H15" s="35" t="s">
        <v>36</v>
      </c>
      <c r="I15" s="35">
        <v>0.13</v>
      </c>
      <c r="J15" s="36">
        <v>7.0000000000000007E-2</v>
      </c>
      <c r="K15" s="7">
        <v>14</v>
      </c>
      <c r="L15" s="14" t="s">
        <v>37</v>
      </c>
    </row>
    <row r="16" spans="1:12" x14ac:dyDescent="0.3">
      <c r="A16" s="21" t="s">
        <v>38</v>
      </c>
      <c r="B16" s="22">
        <f t="shared" si="0"/>
        <v>0</v>
      </c>
      <c r="C16" s="22" t="str">
        <f t="shared" si="1"/>
        <v>Antioquia</v>
      </c>
      <c r="D16" s="22" t="str">
        <f t="shared" si="2"/>
        <v>Abejorral, Antioquia</v>
      </c>
      <c r="E16" s="23">
        <v>5002</v>
      </c>
      <c r="F16" s="24">
        <v>0.2</v>
      </c>
      <c r="G16" s="24">
        <v>0.25</v>
      </c>
      <c r="H16" s="24" t="s">
        <v>39</v>
      </c>
      <c r="I16" s="24">
        <v>0.13</v>
      </c>
      <c r="J16" s="25">
        <v>7.0000000000000007E-2</v>
      </c>
      <c r="K16" s="7">
        <v>15</v>
      </c>
      <c r="L16" s="14" t="s">
        <v>40</v>
      </c>
    </row>
    <row r="17" spans="1:12" x14ac:dyDescent="0.3">
      <c r="A17" s="21" t="s">
        <v>41</v>
      </c>
      <c r="B17" s="22">
        <f t="shared" si="0"/>
        <v>0</v>
      </c>
      <c r="C17" s="22" t="str">
        <f t="shared" si="1"/>
        <v>Antioquia</v>
      </c>
      <c r="D17" s="22" t="str">
        <f t="shared" si="2"/>
        <v>Abriaquí, Antioquia</v>
      </c>
      <c r="E17" s="23">
        <v>5004</v>
      </c>
      <c r="F17" s="24">
        <v>0.2</v>
      </c>
      <c r="G17" s="24">
        <v>0.25</v>
      </c>
      <c r="H17" s="24" t="s">
        <v>39</v>
      </c>
      <c r="I17" s="24">
        <v>0.13</v>
      </c>
      <c r="J17" s="25">
        <v>7.0000000000000007E-2</v>
      </c>
      <c r="K17" s="7">
        <v>16</v>
      </c>
      <c r="L17" s="14" t="s">
        <v>42</v>
      </c>
    </row>
    <row r="18" spans="1:12" x14ac:dyDescent="0.3">
      <c r="A18" s="21" t="s">
        <v>43</v>
      </c>
      <c r="B18" s="22">
        <f t="shared" si="0"/>
        <v>0</v>
      </c>
      <c r="C18" s="22" t="str">
        <f t="shared" si="1"/>
        <v>Antioquia</v>
      </c>
      <c r="D18" s="22" t="str">
        <f t="shared" si="2"/>
        <v>Alejandría, Antioquia</v>
      </c>
      <c r="E18" s="23">
        <v>5021</v>
      </c>
      <c r="F18" s="24">
        <v>0.15</v>
      </c>
      <c r="G18" s="24">
        <v>0.2</v>
      </c>
      <c r="H18" s="24" t="s">
        <v>36</v>
      </c>
      <c r="I18" s="24">
        <v>0.09</v>
      </c>
      <c r="J18" s="25">
        <v>0.05</v>
      </c>
      <c r="K18" s="7">
        <v>17</v>
      </c>
      <c r="L18" s="14" t="s">
        <v>44</v>
      </c>
    </row>
    <row r="19" spans="1:12" x14ac:dyDescent="0.3">
      <c r="A19" s="21" t="s">
        <v>45</v>
      </c>
      <c r="B19" s="22">
        <f t="shared" si="0"/>
        <v>0</v>
      </c>
      <c r="C19" s="22" t="str">
        <f t="shared" si="1"/>
        <v>Antioquia</v>
      </c>
      <c r="D19" s="22" t="str">
        <f t="shared" si="2"/>
        <v>Amagá, Antioquia</v>
      </c>
      <c r="E19" s="23">
        <v>5030</v>
      </c>
      <c r="F19" s="24">
        <v>0.2</v>
      </c>
      <c r="G19" s="24">
        <v>0.25</v>
      </c>
      <c r="H19" s="24" t="s">
        <v>39</v>
      </c>
      <c r="I19" s="24">
        <v>0.16</v>
      </c>
      <c r="J19" s="25">
        <v>0.09</v>
      </c>
      <c r="K19" s="7">
        <v>18</v>
      </c>
      <c r="L19" s="14" t="s">
        <v>46</v>
      </c>
    </row>
    <row r="20" spans="1:12" x14ac:dyDescent="0.3">
      <c r="A20" s="21" t="s">
        <v>47</v>
      </c>
      <c r="B20" s="22">
        <f t="shared" si="0"/>
        <v>0</v>
      </c>
      <c r="C20" s="22" t="str">
        <f t="shared" si="1"/>
        <v>Antioquia</v>
      </c>
      <c r="D20" s="22" t="str">
        <f t="shared" si="2"/>
        <v>Amalfi, Antioquia</v>
      </c>
      <c r="E20" s="23">
        <v>5031</v>
      </c>
      <c r="F20" s="24">
        <v>0.15</v>
      </c>
      <c r="G20" s="24">
        <v>0.2</v>
      </c>
      <c r="H20" s="24" t="s">
        <v>36</v>
      </c>
      <c r="I20" s="24">
        <v>7.0000000000000007E-2</v>
      </c>
      <c r="J20" s="25">
        <v>0.04</v>
      </c>
      <c r="K20" s="7">
        <v>19</v>
      </c>
      <c r="L20" s="14" t="s">
        <v>48</v>
      </c>
    </row>
    <row r="21" spans="1:12" x14ac:dyDescent="0.3">
      <c r="A21" s="21" t="s">
        <v>49</v>
      </c>
      <c r="B21" s="22">
        <f t="shared" si="0"/>
        <v>0</v>
      </c>
      <c r="C21" s="22" t="str">
        <f t="shared" si="1"/>
        <v>Antioquia</v>
      </c>
      <c r="D21" s="22" t="str">
        <f t="shared" si="2"/>
        <v>Andes, Antioquia</v>
      </c>
      <c r="E21" s="23">
        <v>5034</v>
      </c>
      <c r="F21" s="24">
        <v>0.25</v>
      </c>
      <c r="G21" s="24">
        <v>0.3</v>
      </c>
      <c r="H21" s="24" t="s">
        <v>39</v>
      </c>
      <c r="I21" s="24">
        <v>0.17</v>
      </c>
      <c r="J21" s="25">
        <v>0.1</v>
      </c>
      <c r="K21" s="7">
        <v>20</v>
      </c>
      <c r="L21" s="14" t="s">
        <v>50</v>
      </c>
    </row>
    <row r="22" spans="1:12" x14ac:dyDescent="0.3">
      <c r="A22" s="21" t="s">
        <v>51</v>
      </c>
      <c r="B22" s="22">
        <f t="shared" si="0"/>
        <v>0</v>
      </c>
      <c r="C22" s="22" t="str">
        <f t="shared" si="1"/>
        <v>Antioquia</v>
      </c>
      <c r="D22" s="22" t="str">
        <f t="shared" si="2"/>
        <v>Angelópolis, Antioquia</v>
      </c>
      <c r="E22" s="23">
        <v>5036</v>
      </c>
      <c r="F22" s="24">
        <v>0.2</v>
      </c>
      <c r="G22" s="24">
        <v>0.25</v>
      </c>
      <c r="H22" s="24" t="s">
        <v>39</v>
      </c>
      <c r="I22" s="24">
        <v>0.16</v>
      </c>
      <c r="J22" s="25">
        <v>0.08</v>
      </c>
      <c r="K22" s="7">
        <v>21</v>
      </c>
      <c r="L22" s="14" t="s">
        <v>52</v>
      </c>
    </row>
    <row r="23" spans="1:12" x14ac:dyDescent="0.3">
      <c r="A23" s="21" t="s">
        <v>53</v>
      </c>
      <c r="B23" s="22">
        <f t="shared" si="0"/>
        <v>0</v>
      </c>
      <c r="C23" s="22" t="str">
        <f t="shared" si="1"/>
        <v>Antioquia</v>
      </c>
      <c r="D23" s="22" t="str">
        <f t="shared" si="2"/>
        <v>Angostura, Antioquia</v>
      </c>
      <c r="E23" s="23">
        <v>5038</v>
      </c>
      <c r="F23" s="24">
        <v>0.15</v>
      </c>
      <c r="G23" s="24">
        <v>0.2</v>
      </c>
      <c r="H23" s="24" t="s">
        <v>36</v>
      </c>
      <c r="I23" s="24">
        <v>0.09</v>
      </c>
      <c r="J23" s="25">
        <v>0.04</v>
      </c>
      <c r="K23" s="7">
        <v>22</v>
      </c>
      <c r="L23" s="14" t="s">
        <v>54</v>
      </c>
    </row>
    <row r="24" spans="1:12" x14ac:dyDescent="0.3">
      <c r="A24" s="21" t="s">
        <v>55</v>
      </c>
      <c r="B24" s="22">
        <f t="shared" si="0"/>
        <v>0</v>
      </c>
      <c r="C24" s="22" t="str">
        <f t="shared" si="1"/>
        <v>Antioquia</v>
      </c>
      <c r="D24" s="22" t="str">
        <f t="shared" si="2"/>
        <v>Anorí, Antioquia</v>
      </c>
      <c r="E24" s="23">
        <v>5040</v>
      </c>
      <c r="F24" s="24">
        <v>0.15</v>
      </c>
      <c r="G24" s="24">
        <v>0.2</v>
      </c>
      <c r="H24" s="24" t="s">
        <v>36</v>
      </c>
      <c r="I24" s="24">
        <v>7.0000000000000007E-2</v>
      </c>
      <c r="J24" s="25">
        <v>0.04</v>
      </c>
      <c r="K24" s="7">
        <v>23</v>
      </c>
      <c r="L24" s="14" t="s">
        <v>56</v>
      </c>
    </row>
    <row r="25" spans="1:12" x14ac:dyDescent="0.3">
      <c r="A25" s="21" t="s">
        <v>57</v>
      </c>
      <c r="B25" s="22">
        <f t="shared" si="0"/>
        <v>0</v>
      </c>
      <c r="C25" s="22" t="str">
        <f t="shared" si="1"/>
        <v>Antioquia</v>
      </c>
      <c r="D25" s="22" t="str">
        <f t="shared" si="2"/>
        <v>Anzá, Antioquia</v>
      </c>
      <c r="E25" s="23">
        <v>5044</v>
      </c>
      <c r="F25" s="24">
        <v>0.2</v>
      </c>
      <c r="G25" s="37">
        <v>0.25</v>
      </c>
      <c r="H25" s="37" t="s">
        <v>39</v>
      </c>
      <c r="I25" s="24">
        <v>0.14000000000000001</v>
      </c>
      <c r="J25" s="25">
        <v>0.08</v>
      </c>
      <c r="K25" s="7">
        <v>24</v>
      </c>
      <c r="L25" s="14" t="s">
        <v>58</v>
      </c>
    </row>
    <row r="26" spans="1:12" x14ac:dyDescent="0.3">
      <c r="A26" s="21" t="s">
        <v>59</v>
      </c>
      <c r="B26" s="22">
        <f t="shared" si="0"/>
        <v>0</v>
      </c>
      <c r="C26" s="22" t="str">
        <f t="shared" si="1"/>
        <v>Antioquia</v>
      </c>
      <c r="D26" s="22" t="str">
        <f t="shared" si="2"/>
        <v>Apartadó, Antioquia</v>
      </c>
      <c r="E26" s="23">
        <v>5045</v>
      </c>
      <c r="F26" s="24">
        <v>0.25</v>
      </c>
      <c r="G26" s="24">
        <v>0.25</v>
      </c>
      <c r="H26" s="24" t="s">
        <v>39</v>
      </c>
      <c r="I26" s="24">
        <v>0.19</v>
      </c>
      <c r="J26" s="25">
        <v>0.09</v>
      </c>
      <c r="K26" s="7">
        <v>25</v>
      </c>
      <c r="L26" s="14" t="s">
        <v>60</v>
      </c>
    </row>
    <row r="27" spans="1:12" x14ac:dyDescent="0.3">
      <c r="A27" s="21" t="s">
        <v>61</v>
      </c>
      <c r="B27" s="22">
        <f t="shared" si="0"/>
        <v>0</v>
      </c>
      <c r="C27" s="22" t="str">
        <f t="shared" si="1"/>
        <v>Antioquia</v>
      </c>
      <c r="D27" s="22" t="str">
        <f t="shared" si="2"/>
        <v>Arboletes, Antioquia</v>
      </c>
      <c r="E27" s="23">
        <v>5051</v>
      </c>
      <c r="F27" s="24">
        <v>0.1</v>
      </c>
      <c r="G27" s="24">
        <v>0.2</v>
      </c>
      <c r="H27" s="24" t="s">
        <v>36</v>
      </c>
      <c r="I27" s="24">
        <v>0.05</v>
      </c>
      <c r="J27" s="25">
        <v>0.03</v>
      </c>
      <c r="K27" s="7">
        <v>26</v>
      </c>
      <c r="L27" s="14" t="s">
        <v>62</v>
      </c>
    </row>
    <row r="28" spans="1:12" x14ac:dyDescent="0.3">
      <c r="A28" s="21" t="s">
        <v>63</v>
      </c>
      <c r="B28" s="22">
        <f t="shared" si="0"/>
        <v>0</v>
      </c>
      <c r="C28" s="22" t="str">
        <f t="shared" si="1"/>
        <v>Antioquia</v>
      </c>
      <c r="D28" s="22" t="str">
        <f t="shared" si="2"/>
        <v>Argelia, Antioquia</v>
      </c>
      <c r="E28" s="23">
        <v>5055</v>
      </c>
      <c r="F28" s="24">
        <v>0.15</v>
      </c>
      <c r="G28" s="24">
        <v>0.2</v>
      </c>
      <c r="H28" s="24" t="s">
        <v>36</v>
      </c>
      <c r="I28" s="24">
        <v>0.12</v>
      </c>
      <c r="J28" s="25">
        <v>7.0000000000000007E-2</v>
      </c>
      <c r="K28" s="7">
        <v>27</v>
      </c>
      <c r="L28" s="14" t="s">
        <v>64</v>
      </c>
    </row>
    <row r="29" spans="1:12" x14ac:dyDescent="0.3">
      <c r="A29" s="21" t="s">
        <v>65</v>
      </c>
      <c r="B29" s="22">
        <f t="shared" si="0"/>
        <v>0</v>
      </c>
      <c r="C29" s="22" t="str">
        <f t="shared" si="1"/>
        <v>Antioquia</v>
      </c>
      <c r="D29" s="22" t="str">
        <f t="shared" si="2"/>
        <v>Armenia, Antioquia</v>
      </c>
      <c r="E29" s="23">
        <v>5059</v>
      </c>
      <c r="F29" s="24">
        <v>0.2</v>
      </c>
      <c r="G29" s="24">
        <v>0.25</v>
      </c>
      <c r="H29" s="24" t="s">
        <v>39</v>
      </c>
      <c r="I29" s="24">
        <v>0.15</v>
      </c>
      <c r="J29" s="25">
        <v>0.08</v>
      </c>
      <c r="K29" s="7">
        <v>28</v>
      </c>
      <c r="L29" s="14" t="s">
        <v>66</v>
      </c>
    </row>
    <row r="30" spans="1:12" x14ac:dyDescent="0.3">
      <c r="A30" s="21" t="s">
        <v>67</v>
      </c>
      <c r="B30" s="22">
        <f t="shared" si="0"/>
        <v>0</v>
      </c>
      <c r="C30" s="22" t="str">
        <f t="shared" si="1"/>
        <v>Antioquia</v>
      </c>
      <c r="D30" s="22" t="str">
        <f t="shared" si="2"/>
        <v>Barbosa, Antioquia</v>
      </c>
      <c r="E30" s="23">
        <v>5079</v>
      </c>
      <c r="F30" s="24">
        <v>0.15</v>
      </c>
      <c r="G30" s="24">
        <v>0.2</v>
      </c>
      <c r="H30" s="24" t="s">
        <v>36</v>
      </c>
      <c r="I30" s="24">
        <v>0.1</v>
      </c>
      <c r="J30" s="25">
        <v>0.05</v>
      </c>
      <c r="K30" s="7">
        <v>29</v>
      </c>
      <c r="L30" s="14" t="s">
        <v>68</v>
      </c>
    </row>
    <row r="31" spans="1:12" x14ac:dyDescent="0.3">
      <c r="A31" s="21" t="s">
        <v>69</v>
      </c>
      <c r="B31" s="22">
        <f t="shared" si="0"/>
        <v>0</v>
      </c>
      <c r="C31" s="22" t="str">
        <f t="shared" si="1"/>
        <v>Antioquia</v>
      </c>
      <c r="D31" s="22" t="str">
        <f t="shared" si="2"/>
        <v>Bello, Antioquia</v>
      </c>
      <c r="E31" s="23">
        <v>5088</v>
      </c>
      <c r="F31" s="24">
        <v>0.15</v>
      </c>
      <c r="G31" s="24">
        <v>0.2</v>
      </c>
      <c r="H31" s="24" t="s">
        <v>36</v>
      </c>
      <c r="I31" s="24">
        <v>0.13</v>
      </c>
      <c r="J31" s="25">
        <v>7.0000000000000007E-2</v>
      </c>
      <c r="K31" s="7">
        <v>30</v>
      </c>
      <c r="L31" s="14" t="s">
        <v>70</v>
      </c>
    </row>
    <row r="32" spans="1:12" x14ac:dyDescent="0.3">
      <c r="A32" s="21" t="s">
        <v>71</v>
      </c>
      <c r="B32" s="22">
        <f t="shared" si="0"/>
        <v>0</v>
      </c>
      <c r="C32" s="22" t="str">
        <f t="shared" si="1"/>
        <v>Antioquia</v>
      </c>
      <c r="D32" s="22" t="str">
        <f t="shared" si="2"/>
        <v>Belmira, Antioquia</v>
      </c>
      <c r="E32" s="23">
        <v>5086</v>
      </c>
      <c r="F32" s="24">
        <v>0.15</v>
      </c>
      <c r="G32" s="24">
        <v>0.2</v>
      </c>
      <c r="H32" s="24" t="s">
        <v>36</v>
      </c>
      <c r="I32" s="24">
        <v>0.12</v>
      </c>
      <c r="J32" s="25">
        <v>0.06</v>
      </c>
      <c r="K32" s="7">
        <v>31</v>
      </c>
      <c r="L32" s="14" t="s">
        <v>72</v>
      </c>
    </row>
    <row r="33" spans="1:12" x14ac:dyDescent="0.3">
      <c r="A33" s="21" t="s">
        <v>73</v>
      </c>
      <c r="B33" s="22">
        <f t="shared" si="0"/>
        <v>0</v>
      </c>
      <c r="C33" s="22" t="str">
        <f t="shared" si="1"/>
        <v>Antioquia</v>
      </c>
      <c r="D33" s="22" t="str">
        <f t="shared" si="2"/>
        <v>Betania, Antioquia</v>
      </c>
      <c r="E33" s="23">
        <v>5091</v>
      </c>
      <c r="F33" s="24">
        <v>0.25</v>
      </c>
      <c r="G33" s="24">
        <v>0.3</v>
      </c>
      <c r="H33" s="24" t="s">
        <v>39</v>
      </c>
      <c r="I33" s="24">
        <v>0.16</v>
      </c>
      <c r="J33" s="25">
        <v>0.1</v>
      </c>
      <c r="K33" s="7">
        <v>32</v>
      </c>
      <c r="L33" s="14" t="s">
        <v>74</v>
      </c>
    </row>
    <row r="34" spans="1:12" x14ac:dyDescent="0.3">
      <c r="A34" s="21" t="s">
        <v>75</v>
      </c>
      <c r="B34" s="22">
        <f t="shared" si="0"/>
        <v>0</v>
      </c>
      <c r="C34" s="22" t="str">
        <f t="shared" si="1"/>
        <v>Antioquia</v>
      </c>
      <c r="D34" s="22" t="str">
        <f t="shared" si="2"/>
        <v>Betulia, Antioquia</v>
      </c>
      <c r="E34" s="23">
        <v>5093</v>
      </c>
      <c r="F34" s="24">
        <v>0.2</v>
      </c>
      <c r="G34" s="24">
        <v>0.25</v>
      </c>
      <c r="H34" s="24" t="s">
        <v>39</v>
      </c>
      <c r="I34" s="24">
        <v>0.14000000000000001</v>
      </c>
      <c r="J34" s="25">
        <v>0.08</v>
      </c>
      <c r="K34" s="7">
        <v>33</v>
      </c>
      <c r="L34" s="14" t="s">
        <v>76</v>
      </c>
    </row>
    <row r="35" spans="1:12" x14ac:dyDescent="0.3">
      <c r="A35" s="21" t="s">
        <v>77</v>
      </c>
      <c r="B35" s="22">
        <f t="shared" si="0"/>
        <v>0</v>
      </c>
      <c r="C35" s="22" t="str">
        <f t="shared" si="1"/>
        <v>Antioquia</v>
      </c>
      <c r="D35" s="22" t="str">
        <f t="shared" si="2"/>
        <v>Briceño, Antioquia</v>
      </c>
      <c r="E35" s="23">
        <v>5107</v>
      </c>
      <c r="F35" s="24">
        <v>0.15</v>
      </c>
      <c r="G35" s="24">
        <v>0.2</v>
      </c>
      <c r="H35" s="24" t="s">
        <v>36</v>
      </c>
      <c r="I35" s="24">
        <v>0.12</v>
      </c>
      <c r="J35" s="25">
        <v>0.06</v>
      </c>
    </row>
    <row r="36" spans="1:12" x14ac:dyDescent="0.3">
      <c r="A36" s="21" t="s">
        <v>78</v>
      </c>
      <c r="B36" s="22">
        <f t="shared" si="0"/>
        <v>0</v>
      </c>
      <c r="C36" s="22" t="str">
        <f t="shared" si="1"/>
        <v>Antioquia</v>
      </c>
      <c r="D36" s="22" t="str">
        <f t="shared" si="2"/>
        <v>Buriticá, Antioquia</v>
      </c>
      <c r="E36" s="23">
        <v>5113</v>
      </c>
      <c r="F36" s="24">
        <v>0.2</v>
      </c>
      <c r="G36" s="24">
        <v>0.25</v>
      </c>
      <c r="H36" s="24" t="s">
        <v>39</v>
      </c>
      <c r="I36" s="24">
        <v>0.12</v>
      </c>
      <c r="J36" s="25">
        <v>7.0000000000000007E-2</v>
      </c>
    </row>
    <row r="37" spans="1:12" x14ac:dyDescent="0.3">
      <c r="A37" s="21" t="s">
        <v>79</v>
      </c>
      <c r="B37" s="22">
        <f t="shared" si="0"/>
        <v>0</v>
      </c>
      <c r="C37" s="22" t="str">
        <f t="shared" si="1"/>
        <v>Antioquia</v>
      </c>
      <c r="D37" s="22" t="str">
        <f t="shared" si="2"/>
        <v>Cañasgordas, Antioquia</v>
      </c>
      <c r="E37" s="23">
        <v>5138</v>
      </c>
      <c r="F37" s="24">
        <v>0.2</v>
      </c>
      <c r="G37" s="24">
        <v>0.25</v>
      </c>
      <c r="H37" s="24" t="s">
        <v>39</v>
      </c>
      <c r="I37" s="24">
        <v>0.12</v>
      </c>
      <c r="J37" s="25">
        <v>7.0000000000000007E-2</v>
      </c>
    </row>
    <row r="38" spans="1:12" x14ac:dyDescent="0.3">
      <c r="A38" s="21" t="s">
        <v>80</v>
      </c>
      <c r="B38" s="22">
        <f t="shared" si="0"/>
        <v>0</v>
      </c>
      <c r="C38" s="22" t="str">
        <f t="shared" si="1"/>
        <v>Antioquia</v>
      </c>
      <c r="D38" s="22" t="str">
        <f t="shared" si="2"/>
        <v>Cáceres, Antioquia</v>
      </c>
      <c r="E38" s="23">
        <v>5120</v>
      </c>
      <c r="F38" s="24">
        <v>0.15</v>
      </c>
      <c r="G38" s="24">
        <v>0.2</v>
      </c>
      <c r="H38" s="24" t="s">
        <v>36</v>
      </c>
      <c r="I38" s="24">
        <v>0.08</v>
      </c>
      <c r="J38" s="25">
        <v>0.03</v>
      </c>
    </row>
    <row r="39" spans="1:12" x14ac:dyDescent="0.3">
      <c r="A39" s="21" t="s">
        <v>81</v>
      </c>
      <c r="B39" s="22">
        <f t="shared" si="0"/>
        <v>0</v>
      </c>
      <c r="C39" s="22" t="str">
        <f t="shared" si="1"/>
        <v>Antioquia</v>
      </c>
      <c r="D39" s="22" t="str">
        <f t="shared" si="2"/>
        <v>Caicedo, Antioquia</v>
      </c>
      <c r="E39" s="23">
        <v>5125</v>
      </c>
      <c r="F39" s="24">
        <v>0.2</v>
      </c>
      <c r="G39" s="24">
        <v>0.25</v>
      </c>
      <c r="H39" s="24" t="s">
        <v>39</v>
      </c>
      <c r="I39" s="24">
        <v>0.13</v>
      </c>
      <c r="J39" s="25">
        <v>7.0000000000000007E-2</v>
      </c>
    </row>
    <row r="40" spans="1:12" x14ac:dyDescent="0.3">
      <c r="A40" s="21" t="s">
        <v>20</v>
      </c>
      <c r="B40" s="22">
        <f t="shared" si="0"/>
        <v>0</v>
      </c>
      <c r="C40" s="22" t="str">
        <f t="shared" si="1"/>
        <v>Antioquia</v>
      </c>
      <c r="D40" s="22" t="str">
        <f t="shared" si="2"/>
        <v>Caldas, Antioquia</v>
      </c>
      <c r="E40" s="23">
        <v>5129</v>
      </c>
      <c r="F40" s="24">
        <v>0.2</v>
      </c>
      <c r="G40" s="37">
        <v>0.25</v>
      </c>
      <c r="H40" s="37" t="s">
        <v>39</v>
      </c>
      <c r="I40" s="24">
        <v>0.16</v>
      </c>
      <c r="J40" s="25">
        <v>0.08</v>
      </c>
    </row>
    <row r="41" spans="1:12" x14ac:dyDescent="0.3">
      <c r="A41" s="21" t="s">
        <v>82</v>
      </c>
      <c r="B41" s="22">
        <f t="shared" si="0"/>
        <v>0</v>
      </c>
      <c r="C41" s="22" t="str">
        <f t="shared" si="1"/>
        <v>Antioquia</v>
      </c>
      <c r="D41" s="22" t="str">
        <f t="shared" si="2"/>
        <v>Campamento, Antioquia</v>
      </c>
      <c r="E41" s="23">
        <v>5134</v>
      </c>
      <c r="F41" s="24">
        <v>0.15</v>
      </c>
      <c r="G41" s="24">
        <v>0.2</v>
      </c>
      <c r="H41" s="24" t="s">
        <v>36</v>
      </c>
      <c r="I41" s="24">
        <v>0.08</v>
      </c>
      <c r="J41" s="25">
        <v>0.04</v>
      </c>
    </row>
    <row r="42" spans="1:12" x14ac:dyDescent="0.3">
      <c r="A42" s="21" t="s">
        <v>83</v>
      </c>
      <c r="B42" s="22">
        <f t="shared" si="0"/>
        <v>0</v>
      </c>
      <c r="C42" s="22" t="str">
        <f t="shared" si="1"/>
        <v>Antioquia</v>
      </c>
      <c r="D42" s="22" t="str">
        <f t="shared" si="2"/>
        <v>Caracolí, Antioquia</v>
      </c>
      <c r="E42" s="23">
        <v>5142</v>
      </c>
      <c r="F42" s="24">
        <v>0.15</v>
      </c>
      <c r="G42" s="24">
        <v>0.2</v>
      </c>
      <c r="H42" s="24" t="s">
        <v>36</v>
      </c>
      <c r="I42" s="24">
        <v>0.13</v>
      </c>
      <c r="J42" s="25">
        <v>0.06</v>
      </c>
    </row>
    <row r="43" spans="1:12" x14ac:dyDescent="0.3">
      <c r="A43" s="21" t="s">
        <v>84</v>
      </c>
      <c r="B43" s="22">
        <f t="shared" si="0"/>
        <v>0</v>
      </c>
      <c r="C43" s="22" t="str">
        <f t="shared" si="1"/>
        <v>Antioquia</v>
      </c>
      <c r="D43" s="22" t="str">
        <f t="shared" si="2"/>
        <v>Caramanta, Antioquia</v>
      </c>
      <c r="E43" s="23">
        <v>5145</v>
      </c>
      <c r="F43" s="24">
        <v>0.25</v>
      </c>
      <c r="G43" s="24">
        <v>0.25</v>
      </c>
      <c r="H43" s="24" t="s">
        <v>39</v>
      </c>
      <c r="I43" s="24">
        <v>0.15</v>
      </c>
      <c r="J43" s="25">
        <v>0.09</v>
      </c>
    </row>
    <row r="44" spans="1:12" x14ac:dyDescent="0.3">
      <c r="A44" s="21" t="s">
        <v>85</v>
      </c>
      <c r="B44" s="22">
        <f t="shared" si="0"/>
        <v>0</v>
      </c>
      <c r="C44" s="22" t="str">
        <f t="shared" si="1"/>
        <v>Antioquia</v>
      </c>
      <c r="D44" s="22" t="str">
        <f t="shared" si="2"/>
        <v>Carepa, Antioquia</v>
      </c>
      <c r="E44" s="23">
        <v>5147</v>
      </c>
      <c r="F44" s="24">
        <v>0.25</v>
      </c>
      <c r="G44" s="24">
        <v>0.25</v>
      </c>
      <c r="H44" s="24" t="s">
        <v>39</v>
      </c>
      <c r="I44" s="24">
        <v>0.16</v>
      </c>
      <c r="J44" s="25">
        <v>0.08</v>
      </c>
    </row>
    <row r="45" spans="1:12" x14ac:dyDescent="0.3">
      <c r="A45" s="21" t="s">
        <v>86</v>
      </c>
      <c r="B45" s="22">
        <f t="shared" si="0"/>
        <v>0</v>
      </c>
      <c r="C45" s="22" t="str">
        <f t="shared" si="1"/>
        <v>Antioquia</v>
      </c>
      <c r="D45" s="22" t="str">
        <f t="shared" si="2"/>
        <v>Carmen De Viboral, Antioquia</v>
      </c>
      <c r="E45" s="23">
        <v>5148</v>
      </c>
      <c r="F45" s="24">
        <v>0.15</v>
      </c>
      <c r="G45" s="24">
        <v>0.2</v>
      </c>
      <c r="H45" s="24" t="s">
        <v>36</v>
      </c>
      <c r="I45" s="24">
        <v>0.11</v>
      </c>
      <c r="J45" s="25">
        <v>0.06</v>
      </c>
    </row>
    <row r="46" spans="1:12" x14ac:dyDescent="0.3">
      <c r="A46" s="21" t="s">
        <v>87</v>
      </c>
      <c r="B46" s="22">
        <f t="shared" si="0"/>
        <v>0</v>
      </c>
      <c r="C46" s="22" t="str">
        <f t="shared" si="1"/>
        <v>Antioquia</v>
      </c>
      <c r="D46" s="22" t="str">
        <f t="shared" si="2"/>
        <v>Carolina, Antioquia</v>
      </c>
      <c r="E46" s="23">
        <v>5150</v>
      </c>
      <c r="F46" s="24">
        <v>0.15</v>
      </c>
      <c r="G46" s="24">
        <v>0.2</v>
      </c>
      <c r="H46" s="24" t="s">
        <v>36</v>
      </c>
      <c r="I46" s="24">
        <v>0.09</v>
      </c>
      <c r="J46" s="25">
        <v>0.05</v>
      </c>
    </row>
    <row r="47" spans="1:12" x14ac:dyDescent="0.3">
      <c r="A47" s="21" t="s">
        <v>88</v>
      </c>
      <c r="B47" s="22">
        <f t="shared" si="0"/>
        <v>0</v>
      </c>
      <c r="C47" s="22" t="str">
        <f t="shared" si="1"/>
        <v>Antioquia</v>
      </c>
      <c r="D47" s="22" t="str">
        <f t="shared" si="2"/>
        <v>Caucásia, Antioquia</v>
      </c>
      <c r="E47" s="23">
        <v>5154</v>
      </c>
      <c r="F47" s="24">
        <v>0.15</v>
      </c>
      <c r="G47" s="24">
        <v>0.2</v>
      </c>
      <c r="H47" s="24" t="s">
        <v>36</v>
      </c>
      <c r="I47" s="24">
        <v>0.04</v>
      </c>
      <c r="J47" s="25">
        <v>0.02</v>
      </c>
    </row>
    <row r="48" spans="1:12" x14ac:dyDescent="0.3">
      <c r="A48" s="21" t="s">
        <v>89</v>
      </c>
      <c r="B48" s="22">
        <f t="shared" si="0"/>
        <v>0</v>
      </c>
      <c r="C48" s="22" t="str">
        <f t="shared" si="1"/>
        <v>Antioquia</v>
      </c>
      <c r="D48" s="22" t="str">
        <f t="shared" si="2"/>
        <v>Chigorodó, Antioquia</v>
      </c>
      <c r="E48" s="23">
        <v>5172</v>
      </c>
      <c r="F48" s="24">
        <v>0.25</v>
      </c>
      <c r="G48" s="24">
        <v>0.3</v>
      </c>
      <c r="H48" s="24" t="s">
        <v>39</v>
      </c>
      <c r="I48" s="24">
        <v>0.19</v>
      </c>
      <c r="J48" s="25">
        <v>0.1</v>
      </c>
    </row>
    <row r="49" spans="1:10" x14ac:dyDescent="0.3">
      <c r="A49" s="21" t="s">
        <v>90</v>
      </c>
      <c r="B49" s="22">
        <f t="shared" si="0"/>
        <v>0</v>
      </c>
      <c r="C49" s="22" t="str">
        <f t="shared" si="1"/>
        <v>Antioquia</v>
      </c>
      <c r="D49" s="22" t="str">
        <f t="shared" si="2"/>
        <v>Cisneros, Antioquia</v>
      </c>
      <c r="E49" s="23">
        <v>5190</v>
      </c>
      <c r="F49" s="24">
        <v>0.15</v>
      </c>
      <c r="G49" s="24">
        <v>0.2</v>
      </c>
      <c r="H49" s="24" t="s">
        <v>36</v>
      </c>
      <c r="I49" s="24">
        <v>0.09</v>
      </c>
      <c r="J49" s="25">
        <v>0.04</v>
      </c>
    </row>
    <row r="50" spans="1:10" x14ac:dyDescent="0.3">
      <c r="A50" s="21" t="s">
        <v>91</v>
      </c>
      <c r="B50" s="22">
        <f t="shared" si="0"/>
        <v>0</v>
      </c>
      <c r="C50" s="22" t="str">
        <f t="shared" si="1"/>
        <v>Antioquia</v>
      </c>
      <c r="D50" s="22" t="str">
        <f t="shared" si="2"/>
        <v>Ciudad Bolívar, Antioquia</v>
      </c>
      <c r="E50" s="23">
        <v>5101</v>
      </c>
      <c r="F50" s="24">
        <v>0.25</v>
      </c>
      <c r="G50" s="24">
        <v>0.3</v>
      </c>
      <c r="H50" s="24" t="s">
        <v>39</v>
      </c>
      <c r="I50" s="24">
        <v>0.16</v>
      </c>
      <c r="J50" s="25">
        <v>0.1</v>
      </c>
    </row>
    <row r="51" spans="1:10" x14ac:dyDescent="0.3">
      <c r="A51" s="21" t="s">
        <v>92</v>
      </c>
      <c r="B51" s="22">
        <f t="shared" si="0"/>
        <v>0</v>
      </c>
      <c r="C51" s="22" t="str">
        <f t="shared" si="1"/>
        <v>Antioquia</v>
      </c>
      <c r="D51" s="22" t="str">
        <f t="shared" si="2"/>
        <v>Cocorná, Antioquia</v>
      </c>
      <c r="E51" s="23">
        <v>5197</v>
      </c>
      <c r="F51" s="24">
        <v>0.15</v>
      </c>
      <c r="G51" s="24">
        <v>0.2</v>
      </c>
      <c r="H51" s="24" t="s">
        <v>36</v>
      </c>
      <c r="I51" s="24">
        <v>0.11</v>
      </c>
      <c r="J51" s="25">
        <v>0.06</v>
      </c>
    </row>
    <row r="52" spans="1:10" x14ac:dyDescent="0.3">
      <c r="A52" s="21" t="s">
        <v>93</v>
      </c>
      <c r="B52" s="22">
        <f t="shared" si="0"/>
        <v>0</v>
      </c>
      <c r="C52" s="22" t="str">
        <f t="shared" si="1"/>
        <v>Antioquia</v>
      </c>
      <c r="D52" s="22" t="str">
        <f t="shared" si="2"/>
        <v>Concepción, Antioquia</v>
      </c>
      <c r="E52" s="23">
        <v>5206</v>
      </c>
      <c r="F52" s="24">
        <v>0.15</v>
      </c>
      <c r="G52" s="24">
        <v>0.2</v>
      </c>
      <c r="H52" s="24" t="s">
        <v>36</v>
      </c>
      <c r="I52" s="24">
        <v>0.1</v>
      </c>
      <c r="J52" s="25">
        <v>0.05</v>
      </c>
    </row>
    <row r="53" spans="1:10" x14ac:dyDescent="0.3">
      <c r="A53" s="21" t="s">
        <v>94</v>
      </c>
      <c r="B53" s="22">
        <f t="shared" si="0"/>
        <v>0</v>
      </c>
      <c r="C53" s="22" t="str">
        <f t="shared" si="1"/>
        <v>Antioquia</v>
      </c>
      <c r="D53" s="22" t="str">
        <f t="shared" si="2"/>
        <v>Concordia, Antioquia</v>
      </c>
      <c r="E53" s="23">
        <v>5209</v>
      </c>
      <c r="F53" s="24">
        <v>0.25</v>
      </c>
      <c r="G53" s="24">
        <v>0.25</v>
      </c>
      <c r="H53" s="24" t="s">
        <v>39</v>
      </c>
      <c r="I53" s="24">
        <v>0.15</v>
      </c>
      <c r="J53" s="25">
        <v>0.08</v>
      </c>
    </row>
    <row r="54" spans="1:10" x14ac:dyDescent="0.3">
      <c r="A54" s="21" t="s">
        <v>95</v>
      </c>
      <c r="B54" s="22">
        <f t="shared" si="0"/>
        <v>0</v>
      </c>
      <c r="C54" s="22" t="str">
        <f t="shared" si="1"/>
        <v>Antioquia</v>
      </c>
      <c r="D54" s="22" t="str">
        <f t="shared" si="2"/>
        <v>Copacabana, Antioquia</v>
      </c>
      <c r="E54" s="23">
        <v>5212</v>
      </c>
      <c r="F54" s="24">
        <v>0.15</v>
      </c>
      <c r="G54" s="24">
        <v>0.2</v>
      </c>
      <c r="H54" s="24" t="s">
        <v>36</v>
      </c>
      <c r="I54" s="24">
        <v>0.12</v>
      </c>
      <c r="J54" s="25">
        <v>0.06</v>
      </c>
    </row>
    <row r="55" spans="1:10" x14ac:dyDescent="0.3">
      <c r="A55" s="21" t="s">
        <v>96</v>
      </c>
      <c r="B55" s="22">
        <f t="shared" si="0"/>
        <v>0</v>
      </c>
      <c r="C55" s="22" t="str">
        <f t="shared" si="1"/>
        <v>Antioquia</v>
      </c>
      <c r="D55" s="22" t="str">
        <f t="shared" si="2"/>
        <v>Dabeiba, Antioquia</v>
      </c>
      <c r="E55" s="23">
        <v>5234</v>
      </c>
      <c r="F55" s="24">
        <v>0.25</v>
      </c>
      <c r="G55" s="24">
        <v>0.3</v>
      </c>
      <c r="H55" s="24" t="s">
        <v>39</v>
      </c>
      <c r="I55" s="24">
        <v>0.13</v>
      </c>
      <c r="J55" s="25">
        <v>0.08</v>
      </c>
    </row>
    <row r="56" spans="1:10" x14ac:dyDescent="0.3">
      <c r="A56" s="21" t="s">
        <v>97</v>
      </c>
      <c r="B56" s="22">
        <f t="shared" si="0"/>
        <v>0</v>
      </c>
      <c r="C56" s="22" t="str">
        <f t="shared" si="1"/>
        <v>Antioquia</v>
      </c>
      <c r="D56" s="22" t="str">
        <f t="shared" si="2"/>
        <v>Don Matías, Antioquia</v>
      </c>
      <c r="E56" s="23">
        <v>5237</v>
      </c>
      <c r="F56" s="24">
        <v>0.15</v>
      </c>
      <c r="G56" s="24">
        <v>0.2</v>
      </c>
      <c r="H56" s="24" t="s">
        <v>36</v>
      </c>
      <c r="I56" s="24">
        <v>0.1</v>
      </c>
      <c r="J56" s="25">
        <v>0.05</v>
      </c>
    </row>
    <row r="57" spans="1:10" x14ac:dyDescent="0.3">
      <c r="A57" s="21" t="s">
        <v>98</v>
      </c>
      <c r="B57" s="22">
        <f t="shared" si="0"/>
        <v>0</v>
      </c>
      <c r="C57" s="22" t="str">
        <f t="shared" si="1"/>
        <v>Antioquia</v>
      </c>
      <c r="D57" s="22" t="str">
        <f t="shared" si="2"/>
        <v>Ebéjico, Antioquia</v>
      </c>
      <c r="E57" s="23">
        <v>5240</v>
      </c>
      <c r="F57" s="24">
        <v>0.15</v>
      </c>
      <c r="G57" s="24">
        <v>0.25</v>
      </c>
      <c r="H57" s="24" t="s">
        <v>39</v>
      </c>
      <c r="I57" s="24">
        <v>0.15</v>
      </c>
      <c r="J57" s="25">
        <v>0.08</v>
      </c>
    </row>
    <row r="58" spans="1:10" x14ac:dyDescent="0.3">
      <c r="A58" s="21" t="s">
        <v>99</v>
      </c>
      <c r="B58" s="22">
        <f t="shared" si="0"/>
        <v>0</v>
      </c>
      <c r="C58" s="22" t="str">
        <f t="shared" si="1"/>
        <v>Antioquia</v>
      </c>
      <c r="D58" s="22" t="str">
        <f t="shared" si="2"/>
        <v>El Bagre, Antioquia</v>
      </c>
      <c r="E58" s="23">
        <v>5250</v>
      </c>
      <c r="F58" s="24">
        <v>0.15</v>
      </c>
      <c r="G58" s="24">
        <v>0.15</v>
      </c>
      <c r="H58" s="24" t="s">
        <v>36</v>
      </c>
      <c r="I58" s="24">
        <v>7.0000000000000007E-2</v>
      </c>
      <c r="J58" s="25">
        <v>0.04</v>
      </c>
    </row>
    <row r="59" spans="1:10" x14ac:dyDescent="0.3">
      <c r="A59" s="21" t="s">
        <v>100</v>
      </c>
      <c r="B59" s="22">
        <f t="shared" si="0"/>
        <v>0</v>
      </c>
      <c r="C59" s="22" t="str">
        <f t="shared" si="1"/>
        <v>Antioquia</v>
      </c>
      <c r="D59" s="22" t="str">
        <f t="shared" si="2"/>
        <v>Entrerríos, Antioquia</v>
      </c>
      <c r="E59" s="23">
        <v>5264</v>
      </c>
      <c r="F59" s="24">
        <v>0.15</v>
      </c>
      <c r="G59" s="24">
        <v>0.2</v>
      </c>
      <c r="H59" s="24" t="s">
        <v>36</v>
      </c>
      <c r="I59" s="24">
        <v>0.11</v>
      </c>
      <c r="J59" s="25">
        <v>0.06</v>
      </c>
    </row>
    <row r="60" spans="1:10" x14ac:dyDescent="0.3">
      <c r="A60" s="21" t="s">
        <v>101</v>
      </c>
      <c r="B60" s="22">
        <f t="shared" si="0"/>
        <v>0</v>
      </c>
      <c r="C60" s="22" t="str">
        <f t="shared" si="1"/>
        <v>Antioquia</v>
      </c>
      <c r="D60" s="22" t="str">
        <f t="shared" si="2"/>
        <v>Envigado, Antioquia</v>
      </c>
      <c r="E60" s="23">
        <v>5266</v>
      </c>
      <c r="F60" s="24">
        <v>0.15</v>
      </c>
      <c r="G60" s="24">
        <v>0.2</v>
      </c>
      <c r="H60" s="24" t="s">
        <v>36</v>
      </c>
      <c r="I60" s="24">
        <v>0.13</v>
      </c>
      <c r="J60" s="25">
        <v>7.0000000000000007E-2</v>
      </c>
    </row>
    <row r="61" spans="1:10" x14ac:dyDescent="0.3">
      <c r="A61" s="21" t="s">
        <v>102</v>
      </c>
      <c r="B61" s="22">
        <f t="shared" si="0"/>
        <v>0</v>
      </c>
      <c r="C61" s="22" t="str">
        <f t="shared" si="1"/>
        <v>Antioquia</v>
      </c>
      <c r="D61" s="22" t="str">
        <f t="shared" si="2"/>
        <v>Fredonia, Antioquia</v>
      </c>
      <c r="E61" s="23">
        <v>5282</v>
      </c>
      <c r="F61" s="24">
        <v>0.2</v>
      </c>
      <c r="G61" s="24">
        <v>0.25</v>
      </c>
      <c r="H61" s="24" t="s">
        <v>39</v>
      </c>
      <c r="I61" s="24">
        <v>0.16</v>
      </c>
      <c r="J61" s="25">
        <v>0.09</v>
      </c>
    </row>
    <row r="62" spans="1:10" x14ac:dyDescent="0.3">
      <c r="A62" s="21" t="s">
        <v>103</v>
      </c>
      <c r="B62" s="22">
        <f t="shared" si="0"/>
        <v>0</v>
      </c>
      <c r="C62" s="22" t="str">
        <f t="shared" si="1"/>
        <v>Antioquia</v>
      </c>
      <c r="D62" s="22" t="str">
        <f t="shared" si="2"/>
        <v>Frontino, Antioquia</v>
      </c>
      <c r="E62" s="23">
        <v>5284</v>
      </c>
      <c r="F62" s="24">
        <v>0.3</v>
      </c>
      <c r="G62" s="24">
        <v>0.3</v>
      </c>
      <c r="H62" s="24" t="s">
        <v>39</v>
      </c>
      <c r="I62" s="24">
        <v>0.15</v>
      </c>
      <c r="J62" s="25">
        <v>0.09</v>
      </c>
    </row>
    <row r="63" spans="1:10" x14ac:dyDescent="0.3">
      <c r="A63" s="21" t="s">
        <v>104</v>
      </c>
      <c r="B63" s="22">
        <f t="shared" si="0"/>
        <v>0</v>
      </c>
      <c r="C63" s="22" t="str">
        <f t="shared" si="1"/>
        <v>Antioquia</v>
      </c>
      <c r="D63" s="22" t="str">
        <f t="shared" si="2"/>
        <v>Giraldo, Antioquia</v>
      </c>
      <c r="E63" s="23">
        <v>5306</v>
      </c>
      <c r="F63" s="24">
        <v>0.2</v>
      </c>
      <c r="G63" s="24">
        <v>0.25</v>
      </c>
      <c r="H63" s="24" t="s">
        <v>39</v>
      </c>
      <c r="I63" s="24">
        <v>0.12</v>
      </c>
      <c r="J63" s="25">
        <v>7.0000000000000007E-2</v>
      </c>
    </row>
    <row r="64" spans="1:10" x14ac:dyDescent="0.3">
      <c r="A64" s="21" t="s">
        <v>105</v>
      </c>
      <c r="B64" s="22">
        <f t="shared" si="0"/>
        <v>0</v>
      </c>
      <c r="C64" s="22" t="str">
        <f t="shared" si="1"/>
        <v>Antioquia</v>
      </c>
      <c r="D64" s="22" t="str">
        <f t="shared" si="2"/>
        <v>Girardota, Antioquia</v>
      </c>
      <c r="E64" s="23">
        <v>5308</v>
      </c>
      <c r="F64" s="24">
        <v>0.15</v>
      </c>
      <c r="G64" s="24">
        <v>0.2</v>
      </c>
      <c r="H64" s="24" t="s">
        <v>36</v>
      </c>
      <c r="I64" s="24">
        <v>0.11</v>
      </c>
      <c r="J64" s="25">
        <v>0.06</v>
      </c>
    </row>
    <row r="65" spans="1:10" x14ac:dyDescent="0.3">
      <c r="A65" s="21" t="s">
        <v>106</v>
      </c>
      <c r="B65" s="22">
        <f t="shared" si="0"/>
        <v>0</v>
      </c>
      <c r="C65" s="22" t="str">
        <f t="shared" si="1"/>
        <v>Antioquia</v>
      </c>
      <c r="D65" s="22" t="str">
        <f t="shared" si="2"/>
        <v>Gómez Plata, Antioquia</v>
      </c>
      <c r="E65" s="23">
        <v>5310</v>
      </c>
      <c r="F65" s="24">
        <v>0.15</v>
      </c>
      <c r="G65" s="24">
        <v>0.2</v>
      </c>
      <c r="H65" s="24" t="s">
        <v>36</v>
      </c>
      <c r="I65" s="24">
        <v>0.08</v>
      </c>
      <c r="J65" s="25">
        <v>0.04</v>
      </c>
    </row>
    <row r="66" spans="1:10" x14ac:dyDescent="0.3">
      <c r="A66" s="21" t="s">
        <v>107</v>
      </c>
      <c r="B66" s="22">
        <f t="shared" si="0"/>
        <v>0</v>
      </c>
      <c r="C66" s="22" t="str">
        <f t="shared" si="1"/>
        <v>Antioquia</v>
      </c>
      <c r="D66" s="22" t="str">
        <f t="shared" si="2"/>
        <v>Granada, Antioquia</v>
      </c>
      <c r="E66" s="23">
        <v>5313</v>
      </c>
      <c r="F66" s="24">
        <v>0.15</v>
      </c>
      <c r="G66" s="24">
        <v>0.2</v>
      </c>
      <c r="H66" s="24" t="s">
        <v>36</v>
      </c>
      <c r="I66" s="24">
        <v>0.1</v>
      </c>
      <c r="J66" s="25">
        <v>0.05</v>
      </c>
    </row>
    <row r="67" spans="1:10" x14ac:dyDescent="0.3">
      <c r="A67" s="21" t="s">
        <v>108</v>
      </c>
      <c r="B67" s="22">
        <f t="shared" ref="B67:B130" si="3">IFERROR(FIND("Departamento",A67),0)</f>
        <v>0</v>
      </c>
      <c r="C67" s="22" t="str">
        <f t="shared" ref="C67:C130" si="4">IF(B67=1,IF(ISERROR(FIND("del",A67)),MID(A67,17,30),MID(A67,18,30)),C66)</f>
        <v>Antioquia</v>
      </c>
      <c r="D67" s="22" t="str">
        <f t="shared" ref="D67:D130" si="5">IF(B67=1,"",CONCATENATE(A67,", ",C67))</f>
        <v>Guadalupe, Antioquia</v>
      </c>
      <c r="E67" s="23">
        <v>5315</v>
      </c>
      <c r="F67" s="24">
        <v>0.15</v>
      </c>
      <c r="G67" s="24">
        <v>0.2</v>
      </c>
      <c r="H67" s="24" t="s">
        <v>36</v>
      </c>
      <c r="I67" s="24">
        <v>0.08</v>
      </c>
      <c r="J67" s="25">
        <v>0.04</v>
      </c>
    </row>
    <row r="68" spans="1:10" x14ac:dyDescent="0.3">
      <c r="A68" s="21" t="s">
        <v>109</v>
      </c>
      <c r="B68" s="22">
        <f t="shared" si="3"/>
        <v>0</v>
      </c>
      <c r="C68" s="22" t="str">
        <f t="shared" si="4"/>
        <v>Antioquia</v>
      </c>
      <c r="D68" s="22" t="str">
        <f t="shared" si="5"/>
        <v>Guarne, Antioquia</v>
      </c>
      <c r="E68" s="23">
        <v>5318</v>
      </c>
      <c r="F68" s="24">
        <v>0.15</v>
      </c>
      <c r="G68" s="24">
        <v>0.2</v>
      </c>
      <c r="H68" s="24" t="s">
        <v>36</v>
      </c>
      <c r="I68" s="24">
        <v>0.12</v>
      </c>
      <c r="J68" s="25">
        <v>0.06</v>
      </c>
    </row>
    <row r="69" spans="1:10" x14ac:dyDescent="0.3">
      <c r="A69" s="21" t="s">
        <v>110</v>
      </c>
      <c r="B69" s="22">
        <f t="shared" si="3"/>
        <v>0</v>
      </c>
      <c r="C69" s="22" t="str">
        <f t="shared" si="4"/>
        <v>Antioquia</v>
      </c>
      <c r="D69" s="22" t="str">
        <f t="shared" si="5"/>
        <v>Guatapé, Antioquia</v>
      </c>
      <c r="E69" s="23">
        <v>5321</v>
      </c>
      <c r="F69" s="24">
        <v>0.15</v>
      </c>
      <c r="G69" s="24">
        <v>0.2</v>
      </c>
      <c r="H69" s="24" t="s">
        <v>36</v>
      </c>
      <c r="I69" s="24">
        <v>0.1</v>
      </c>
      <c r="J69" s="25">
        <v>0.05</v>
      </c>
    </row>
    <row r="70" spans="1:10" x14ac:dyDescent="0.3">
      <c r="A70" s="21" t="s">
        <v>111</v>
      </c>
      <c r="B70" s="22">
        <f t="shared" si="3"/>
        <v>0</v>
      </c>
      <c r="C70" s="22" t="str">
        <f t="shared" si="4"/>
        <v>Antioquia</v>
      </c>
      <c r="D70" s="22" t="str">
        <f t="shared" si="5"/>
        <v>Heliconia, Antioquia</v>
      </c>
      <c r="E70" s="23">
        <v>5347</v>
      </c>
      <c r="F70" s="24">
        <v>0.15</v>
      </c>
      <c r="G70" s="24">
        <v>0.25</v>
      </c>
      <c r="H70" s="24" t="s">
        <v>39</v>
      </c>
      <c r="I70" s="24">
        <v>0.16</v>
      </c>
      <c r="J70" s="25">
        <v>0.08</v>
      </c>
    </row>
    <row r="71" spans="1:10" x14ac:dyDescent="0.3">
      <c r="A71" s="21" t="s">
        <v>112</v>
      </c>
      <c r="B71" s="22">
        <f t="shared" si="3"/>
        <v>0</v>
      </c>
      <c r="C71" s="22" t="str">
        <f t="shared" si="4"/>
        <v>Antioquia</v>
      </c>
      <c r="D71" s="22" t="str">
        <f t="shared" si="5"/>
        <v>Hispania, Antioquia</v>
      </c>
      <c r="E71" s="23">
        <v>5353</v>
      </c>
      <c r="F71" s="24">
        <v>0.25</v>
      </c>
      <c r="G71" s="24">
        <v>0.3</v>
      </c>
      <c r="H71" s="24" t="s">
        <v>39</v>
      </c>
      <c r="I71" s="24">
        <v>0.16</v>
      </c>
      <c r="J71" s="25">
        <v>0.1</v>
      </c>
    </row>
    <row r="72" spans="1:10" x14ac:dyDescent="0.3">
      <c r="A72" s="21" t="s">
        <v>113</v>
      </c>
      <c r="B72" s="22">
        <f t="shared" si="3"/>
        <v>0</v>
      </c>
      <c r="C72" s="22" t="str">
        <f t="shared" si="4"/>
        <v>Antioquia</v>
      </c>
      <c r="D72" s="22" t="str">
        <f t="shared" si="5"/>
        <v>Itagüí, Antioquia</v>
      </c>
      <c r="E72" s="23">
        <v>5360</v>
      </c>
      <c r="F72" s="24">
        <v>0.15</v>
      </c>
      <c r="G72" s="24">
        <v>0.2</v>
      </c>
      <c r="H72" s="24" t="s">
        <v>36</v>
      </c>
      <c r="I72" s="24">
        <v>0.14000000000000001</v>
      </c>
      <c r="J72" s="25">
        <v>0.08</v>
      </c>
    </row>
    <row r="73" spans="1:10" x14ac:dyDescent="0.3">
      <c r="A73" s="21" t="s">
        <v>114</v>
      </c>
      <c r="B73" s="22">
        <f t="shared" si="3"/>
        <v>0</v>
      </c>
      <c r="C73" s="22" t="str">
        <f t="shared" si="4"/>
        <v>Antioquia</v>
      </c>
      <c r="D73" s="22" t="str">
        <f t="shared" si="5"/>
        <v>Ituango, Antioquia</v>
      </c>
      <c r="E73" s="23">
        <v>5361</v>
      </c>
      <c r="F73" s="24">
        <v>0.2</v>
      </c>
      <c r="G73" s="24">
        <v>0.2</v>
      </c>
      <c r="H73" s="24" t="s">
        <v>36</v>
      </c>
      <c r="I73" s="24">
        <v>0.09</v>
      </c>
      <c r="J73" s="25">
        <v>0.05</v>
      </c>
    </row>
    <row r="74" spans="1:10" x14ac:dyDescent="0.3">
      <c r="A74" s="21" t="s">
        <v>115</v>
      </c>
      <c r="B74" s="22">
        <f t="shared" si="3"/>
        <v>0</v>
      </c>
      <c r="C74" s="22" t="str">
        <f t="shared" si="4"/>
        <v>Antioquia</v>
      </c>
      <c r="D74" s="22" t="str">
        <f t="shared" si="5"/>
        <v>Jardín, Antioquia</v>
      </c>
      <c r="E74" s="23">
        <v>5364</v>
      </c>
      <c r="F74" s="24">
        <v>0.25</v>
      </c>
      <c r="G74" s="24">
        <v>0.3</v>
      </c>
      <c r="H74" s="24" t="s">
        <v>39</v>
      </c>
      <c r="I74" s="24">
        <v>0.2</v>
      </c>
      <c r="J74" s="25">
        <v>0.11</v>
      </c>
    </row>
    <row r="75" spans="1:10" x14ac:dyDescent="0.3">
      <c r="A75" s="21" t="s">
        <v>116</v>
      </c>
      <c r="B75" s="22">
        <f t="shared" si="3"/>
        <v>0</v>
      </c>
      <c r="C75" s="22" t="str">
        <f t="shared" si="4"/>
        <v>Antioquia</v>
      </c>
      <c r="D75" s="22" t="str">
        <f t="shared" si="5"/>
        <v>Jericó, Antioquia</v>
      </c>
      <c r="E75" s="23">
        <v>5368</v>
      </c>
      <c r="F75" s="24">
        <v>0.25</v>
      </c>
      <c r="G75" s="24">
        <v>0.25</v>
      </c>
      <c r="H75" s="24" t="s">
        <v>39</v>
      </c>
      <c r="I75" s="24">
        <v>0.18</v>
      </c>
      <c r="J75" s="25">
        <v>0.1</v>
      </c>
    </row>
    <row r="76" spans="1:10" x14ac:dyDescent="0.3">
      <c r="A76" s="21" t="s">
        <v>117</v>
      </c>
      <c r="B76" s="22">
        <f t="shared" si="3"/>
        <v>0</v>
      </c>
      <c r="C76" s="22" t="str">
        <f t="shared" si="4"/>
        <v>Antioquia</v>
      </c>
      <c r="D76" s="22" t="str">
        <f t="shared" si="5"/>
        <v>La Ceja, Antioquia</v>
      </c>
      <c r="E76" s="23">
        <v>5376</v>
      </c>
      <c r="F76" s="24">
        <v>0.15</v>
      </c>
      <c r="G76" s="24">
        <v>0.2</v>
      </c>
      <c r="H76" s="24" t="s">
        <v>36</v>
      </c>
      <c r="I76" s="24">
        <v>0.13</v>
      </c>
      <c r="J76" s="25">
        <v>7.0000000000000007E-2</v>
      </c>
    </row>
    <row r="77" spans="1:10" x14ac:dyDescent="0.3">
      <c r="A77" s="21" t="s">
        <v>118</v>
      </c>
      <c r="B77" s="22">
        <f t="shared" si="3"/>
        <v>0</v>
      </c>
      <c r="C77" s="22" t="str">
        <f t="shared" si="4"/>
        <v>Antioquia</v>
      </c>
      <c r="D77" s="22" t="str">
        <f t="shared" si="5"/>
        <v>La Estrella, Antioquia</v>
      </c>
      <c r="E77" s="23">
        <v>5380</v>
      </c>
      <c r="F77" s="24">
        <v>0.15</v>
      </c>
      <c r="G77" s="24">
        <v>0.25</v>
      </c>
      <c r="H77" s="24" t="s">
        <v>39</v>
      </c>
      <c r="I77" s="24">
        <v>0.15</v>
      </c>
      <c r="J77" s="25">
        <v>0.08</v>
      </c>
    </row>
    <row r="78" spans="1:10" x14ac:dyDescent="0.3">
      <c r="A78" s="21" t="s">
        <v>119</v>
      </c>
      <c r="B78" s="22">
        <f t="shared" si="3"/>
        <v>0</v>
      </c>
      <c r="C78" s="22" t="str">
        <f t="shared" si="4"/>
        <v>Antioquia</v>
      </c>
      <c r="D78" s="22" t="str">
        <f t="shared" si="5"/>
        <v>La Pintada, Antioquia</v>
      </c>
      <c r="E78" s="23">
        <v>5390</v>
      </c>
      <c r="F78" s="24">
        <v>0.25</v>
      </c>
      <c r="G78" s="24">
        <v>0.25</v>
      </c>
      <c r="H78" s="24" t="s">
        <v>39</v>
      </c>
      <c r="I78" s="24">
        <v>0.16</v>
      </c>
      <c r="J78" s="25">
        <v>0.09</v>
      </c>
    </row>
    <row r="79" spans="1:10" x14ac:dyDescent="0.3">
      <c r="A79" s="21" t="s">
        <v>120</v>
      </c>
      <c r="B79" s="22">
        <f t="shared" si="3"/>
        <v>0</v>
      </c>
      <c r="C79" s="22" t="str">
        <f t="shared" si="4"/>
        <v>Antioquia</v>
      </c>
      <c r="D79" s="22" t="str">
        <f t="shared" si="5"/>
        <v>La Unión, Antioquia</v>
      </c>
      <c r="E79" s="23">
        <v>5400</v>
      </c>
      <c r="F79" s="24">
        <v>0.15</v>
      </c>
      <c r="G79" s="24">
        <v>0.2</v>
      </c>
      <c r="H79" s="24" t="s">
        <v>36</v>
      </c>
      <c r="I79" s="24">
        <v>0.12</v>
      </c>
      <c r="J79" s="25">
        <v>0.06</v>
      </c>
    </row>
    <row r="80" spans="1:10" x14ac:dyDescent="0.3">
      <c r="A80" s="21" t="s">
        <v>121</v>
      </c>
      <c r="B80" s="22">
        <f t="shared" si="3"/>
        <v>0</v>
      </c>
      <c r="C80" s="22" t="str">
        <f t="shared" si="4"/>
        <v>Antioquia</v>
      </c>
      <c r="D80" s="22" t="str">
        <f t="shared" si="5"/>
        <v>Liborina, Antioquia</v>
      </c>
      <c r="E80" s="23">
        <v>5411</v>
      </c>
      <c r="F80" s="24">
        <v>0.15</v>
      </c>
      <c r="G80" s="24">
        <v>0.2</v>
      </c>
      <c r="H80" s="24" t="s">
        <v>36</v>
      </c>
      <c r="I80" s="24">
        <v>0.14000000000000001</v>
      </c>
      <c r="J80" s="25">
        <v>7.0000000000000007E-2</v>
      </c>
    </row>
    <row r="81" spans="1:10" x14ac:dyDescent="0.3">
      <c r="A81" s="21" t="s">
        <v>122</v>
      </c>
      <c r="B81" s="22">
        <f t="shared" si="3"/>
        <v>0</v>
      </c>
      <c r="C81" s="22" t="str">
        <f t="shared" si="4"/>
        <v>Antioquia</v>
      </c>
      <c r="D81" s="22" t="str">
        <f t="shared" si="5"/>
        <v>Maceo, Antioquia</v>
      </c>
      <c r="E81" s="23">
        <v>5425</v>
      </c>
      <c r="F81" s="24">
        <v>0.15</v>
      </c>
      <c r="G81" s="24">
        <v>0.2</v>
      </c>
      <c r="H81" s="24" t="s">
        <v>36</v>
      </c>
      <c r="I81" s="24">
        <v>0.11</v>
      </c>
      <c r="J81" s="25">
        <v>0.06</v>
      </c>
    </row>
    <row r="82" spans="1:10" x14ac:dyDescent="0.3">
      <c r="A82" s="21" t="s">
        <v>123</v>
      </c>
      <c r="B82" s="22">
        <f t="shared" si="3"/>
        <v>0</v>
      </c>
      <c r="C82" s="22" t="str">
        <f t="shared" si="4"/>
        <v>Antioquia</v>
      </c>
      <c r="D82" s="22" t="str">
        <f t="shared" si="5"/>
        <v>Marinilla, Antioquia</v>
      </c>
      <c r="E82" s="23">
        <v>5440</v>
      </c>
      <c r="F82" s="24">
        <v>0.15</v>
      </c>
      <c r="G82" s="24">
        <v>0.2</v>
      </c>
      <c r="H82" s="24" t="s">
        <v>36</v>
      </c>
      <c r="I82" s="24">
        <v>0.11</v>
      </c>
      <c r="J82" s="25">
        <v>0.06</v>
      </c>
    </row>
    <row r="83" spans="1:10" x14ac:dyDescent="0.3">
      <c r="A83" s="21" t="s">
        <v>124</v>
      </c>
      <c r="B83" s="22">
        <f t="shared" si="3"/>
        <v>0</v>
      </c>
      <c r="C83" s="22" t="str">
        <f t="shared" si="4"/>
        <v>Antioquia</v>
      </c>
      <c r="D83" s="22" t="str">
        <f t="shared" si="5"/>
        <v>Montebello, Antioquia</v>
      </c>
      <c r="E83" s="23">
        <v>5467</v>
      </c>
      <c r="F83" s="24">
        <v>0.2</v>
      </c>
      <c r="G83" s="24">
        <v>0.25</v>
      </c>
      <c r="H83" s="24" t="s">
        <v>39</v>
      </c>
      <c r="I83" s="24">
        <v>0.14000000000000001</v>
      </c>
      <c r="J83" s="25">
        <v>0.08</v>
      </c>
    </row>
    <row r="84" spans="1:10" x14ac:dyDescent="0.3">
      <c r="A84" s="21" t="s">
        <v>125</v>
      </c>
      <c r="B84" s="22">
        <f t="shared" si="3"/>
        <v>0</v>
      </c>
      <c r="C84" s="22" t="str">
        <f t="shared" si="4"/>
        <v>Antioquia</v>
      </c>
      <c r="D84" s="22" t="str">
        <f t="shared" si="5"/>
        <v>Murindó, Antioquia</v>
      </c>
      <c r="E84" s="23">
        <v>5475</v>
      </c>
      <c r="F84" s="24">
        <v>0.35</v>
      </c>
      <c r="G84" s="24">
        <v>0.35</v>
      </c>
      <c r="H84" s="24" t="s">
        <v>39</v>
      </c>
      <c r="I84" s="24">
        <v>0.25</v>
      </c>
      <c r="J84" s="25">
        <v>0.13</v>
      </c>
    </row>
    <row r="85" spans="1:10" x14ac:dyDescent="0.3">
      <c r="A85" s="21" t="s">
        <v>126</v>
      </c>
      <c r="B85" s="22">
        <f t="shared" si="3"/>
        <v>0</v>
      </c>
      <c r="C85" s="22" t="str">
        <f t="shared" si="4"/>
        <v>Antioquia</v>
      </c>
      <c r="D85" s="22" t="str">
        <f t="shared" si="5"/>
        <v>Mutatá, Antioquia</v>
      </c>
      <c r="E85" s="23">
        <v>5480</v>
      </c>
      <c r="F85" s="24">
        <v>0.25</v>
      </c>
      <c r="G85" s="24">
        <v>0.3</v>
      </c>
      <c r="H85" s="24" t="s">
        <v>39</v>
      </c>
      <c r="I85" s="24">
        <v>0.16</v>
      </c>
      <c r="J85" s="25">
        <v>0.09</v>
      </c>
    </row>
    <row r="86" spans="1:10" x14ac:dyDescent="0.3">
      <c r="A86" s="21" t="s">
        <v>44</v>
      </c>
      <c r="B86" s="22">
        <f t="shared" si="3"/>
        <v>0</v>
      </c>
      <c r="C86" s="22" t="str">
        <f t="shared" si="4"/>
        <v>Antioquia</v>
      </c>
      <c r="D86" s="22" t="str">
        <f t="shared" si="5"/>
        <v>Nariño, Antioquia</v>
      </c>
      <c r="E86" s="23">
        <v>5483</v>
      </c>
      <c r="F86" s="24">
        <v>0.2</v>
      </c>
      <c r="G86" s="24">
        <v>0.2</v>
      </c>
      <c r="H86" s="24" t="s">
        <v>36</v>
      </c>
      <c r="I86" s="24">
        <v>0.12</v>
      </c>
      <c r="J86" s="25">
        <v>7.0000000000000007E-2</v>
      </c>
    </row>
    <row r="87" spans="1:10" x14ac:dyDescent="0.3">
      <c r="A87" s="21" t="s">
        <v>127</v>
      </c>
      <c r="B87" s="22">
        <f t="shared" si="3"/>
        <v>0</v>
      </c>
      <c r="C87" s="22" t="str">
        <f t="shared" si="4"/>
        <v>Antioquia</v>
      </c>
      <c r="D87" s="22" t="str">
        <f t="shared" si="5"/>
        <v>Nechí, Antioquia</v>
      </c>
      <c r="E87" s="23">
        <v>5495</v>
      </c>
      <c r="F87" s="24">
        <v>0.15</v>
      </c>
      <c r="G87" s="24">
        <v>0.15</v>
      </c>
      <c r="H87" s="24" t="s">
        <v>36</v>
      </c>
      <c r="I87" s="24">
        <v>0.05</v>
      </c>
      <c r="J87" s="25">
        <v>0.03</v>
      </c>
    </row>
    <row r="88" spans="1:10" x14ac:dyDescent="0.3">
      <c r="A88" s="21" t="s">
        <v>128</v>
      </c>
      <c r="B88" s="22">
        <f t="shared" si="3"/>
        <v>0</v>
      </c>
      <c r="C88" s="22" t="str">
        <f t="shared" si="4"/>
        <v>Antioquia</v>
      </c>
      <c r="D88" s="22" t="str">
        <f t="shared" si="5"/>
        <v>Necoclí, Antioquia</v>
      </c>
      <c r="E88" s="23">
        <v>5490</v>
      </c>
      <c r="F88" s="24">
        <v>0.2</v>
      </c>
      <c r="G88" s="24">
        <v>0.2</v>
      </c>
      <c r="H88" s="24" t="s">
        <v>36</v>
      </c>
      <c r="I88" s="24">
        <v>0.15</v>
      </c>
      <c r="J88" s="25">
        <v>7.0000000000000007E-2</v>
      </c>
    </row>
    <row r="89" spans="1:10" x14ac:dyDescent="0.3">
      <c r="A89" s="21" t="s">
        <v>129</v>
      </c>
      <c r="B89" s="22">
        <f t="shared" si="3"/>
        <v>0</v>
      </c>
      <c r="C89" s="22" t="str">
        <f t="shared" si="4"/>
        <v>Antioquia</v>
      </c>
      <c r="D89" s="22" t="str">
        <f t="shared" si="5"/>
        <v>Olaya, Antioquia</v>
      </c>
      <c r="E89" s="23">
        <v>5501</v>
      </c>
      <c r="F89" s="24">
        <v>0.15</v>
      </c>
      <c r="G89" s="24">
        <v>0.2</v>
      </c>
      <c r="H89" s="24" t="s">
        <v>36</v>
      </c>
      <c r="I89" s="24">
        <v>0.15</v>
      </c>
      <c r="J89" s="25">
        <v>7.0000000000000007E-2</v>
      </c>
    </row>
    <row r="90" spans="1:10" x14ac:dyDescent="0.3">
      <c r="A90" s="21" t="s">
        <v>130</v>
      </c>
      <c r="B90" s="22">
        <f t="shared" si="3"/>
        <v>0</v>
      </c>
      <c r="C90" s="22" t="str">
        <f t="shared" si="4"/>
        <v>Antioquia</v>
      </c>
      <c r="D90" s="22" t="str">
        <f t="shared" si="5"/>
        <v>Peñol, Antioquia</v>
      </c>
      <c r="E90" s="23">
        <v>5541</v>
      </c>
      <c r="F90" s="24">
        <v>0.15</v>
      </c>
      <c r="G90" s="24">
        <v>0.2</v>
      </c>
      <c r="H90" s="24" t="s">
        <v>36</v>
      </c>
      <c r="I90" s="24">
        <v>0.1</v>
      </c>
      <c r="J90" s="25">
        <v>0.05</v>
      </c>
    </row>
    <row r="91" spans="1:10" x14ac:dyDescent="0.3">
      <c r="A91" s="21" t="s">
        <v>131</v>
      </c>
      <c r="B91" s="22">
        <f t="shared" si="3"/>
        <v>0</v>
      </c>
      <c r="C91" s="22" t="str">
        <f t="shared" si="4"/>
        <v>Antioquia</v>
      </c>
      <c r="D91" s="22" t="str">
        <f t="shared" si="5"/>
        <v>Peque, Antioquia</v>
      </c>
      <c r="E91" s="23">
        <v>5543</v>
      </c>
      <c r="F91" s="24">
        <v>0.2</v>
      </c>
      <c r="G91" s="24">
        <v>0.25</v>
      </c>
      <c r="H91" s="24" t="s">
        <v>39</v>
      </c>
      <c r="I91" s="24">
        <v>0.11</v>
      </c>
      <c r="J91" s="25">
        <v>0.06</v>
      </c>
    </row>
    <row r="92" spans="1:10" x14ac:dyDescent="0.3">
      <c r="A92" s="21" t="s">
        <v>132</v>
      </c>
      <c r="B92" s="22">
        <f t="shared" si="3"/>
        <v>0</v>
      </c>
      <c r="C92" s="22" t="str">
        <f t="shared" si="4"/>
        <v>Antioquia</v>
      </c>
      <c r="D92" s="22" t="str">
        <f t="shared" si="5"/>
        <v>Pueblorrico, Antioquia</v>
      </c>
      <c r="E92" s="23">
        <v>5576</v>
      </c>
      <c r="F92" s="24">
        <v>0.25</v>
      </c>
      <c r="G92" s="24">
        <v>0.25</v>
      </c>
      <c r="H92" s="24" t="s">
        <v>39</v>
      </c>
      <c r="I92" s="24">
        <v>0.17</v>
      </c>
      <c r="J92" s="25">
        <v>0.1</v>
      </c>
    </row>
    <row r="93" spans="1:10" x14ac:dyDescent="0.3">
      <c r="A93" s="21" t="s">
        <v>133</v>
      </c>
      <c r="B93" s="22">
        <f t="shared" si="3"/>
        <v>0</v>
      </c>
      <c r="C93" s="22" t="str">
        <f t="shared" si="4"/>
        <v>Antioquia</v>
      </c>
      <c r="D93" s="22" t="str">
        <f t="shared" si="5"/>
        <v>Puerto Berrío, Antioquia</v>
      </c>
      <c r="E93" s="23">
        <v>5579</v>
      </c>
      <c r="F93" s="24">
        <v>0.15</v>
      </c>
      <c r="G93" s="24">
        <v>0.15</v>
      </c>
      <c r="H93" s="24" t="s">
        <v>36</v>
      </c>
      <c r="I93" s="24">
        <v>0.11</v>
      </c>
      <c r="J93" s="25">
        <v>0.06</v>
      </c>
    </row>
    <row r="94" spans="1:10" x14ac:dyDescent="0.3">
      <c r="A94" s="21" t="s">
        <v>134</v>
      </c>
      <c r="B94" s="22">
        <f t="shared" si="3"/>
        <v>0</v>
      </c>
      <c r="C94" s="22" t="str">
        <f t="shared" si="4"/>
        <v>Antioquia</v>
      </c>
      <c r="D94" s="22" t="str">
        <f t="shared" si="5"/>
        <v>Puerto Nare, Antioquia</v>
      </c>
      <c r="E94" s="23">
        <v>5585</v>
      </c>
      <c r="F94" s="24">
        <v>0.15</v>
      </c>
      <c r="G94" s="24">
        <v>0.2</v>
      </c>
      <c r="H94" s="24" t="s">
        <v>36</v>
      </c>
      <c r="I94" s="24">
        <v>0.11</v>
      </c>
      <c r="J94" s="25">
        <v>0.06</v>
      </c>
    </row>
    <row r="95" spans="1:10" x14ac:dyDescent="0.3">
      <c r="A95" s="21" t="s">
        <v>135</v>
      </c>
      <c r="B95" s="22">
        <f t="shared" si="3"/>
        <v>0</v>
      </c>
      <c r="C95" s="22" t="str">
        <f t="shared" si="4"/>
        <v>Antioquia</v>
      </c>
      <c r="D95" s="22" t="str">
        <f t="shared" si="5"/>
        <v>Puerto Triunfo, Antioquia</v>
      </c>
      <c r="E95" s="23">
        <v>5591</v>
      </c>
      <c r="F95" s="24">
        <v>0.15</v>
      </c>
      <c r="G95" s="24">
        <v>0.2</v>
      </c>
      <c r="H95" s="24" t="s">
        <v>36</v>
      </c>
      <c r="I95" s="24">
        <v>0.09</v>
      </c>
      <c r="J95" s="25">
        <v>0.05</v>
      </c>
    </row>
    <row r="96" spans="1:10" x14ac:dyDescent="0.3">
      <c r="A96" s="21" t="s">
        <v>136</v>
      </c>
      <c r="B96" s="22">
        <f t="shared" si="3"/>
        <v>0</v>
      </c>
      <c r="C96" s="22" t="str">
        <f t="shared" si="4"/>
        <v>Antioquia</v>
      </c>
      <c r="D96" s="22" t="str">
        <f t="shared" si="5"/>
        <v>Remedios, Antioquia</v>
      </c>
      <c r="E96" s="23">
        <v>5604</v>
      </c>
      <c r="F96" s="24">
        <v>0.15</v>
      </c>
      <c r="G96" s="24">
        <v>0.2</v>
      </c>
      <c r="H96" s="24" t="s">
        <v>36</v>
      </c>
      <c r="I96" s="24">
        <v>0.15</v>
      </c>
      <c r="J96" s="25">
        <v>7.0000000000000007E-2</v>
      </c>
    </row>
    <row r="97" spans="1:10" x14ac:dyDescent="0.3">
      <c r="A97" s="21" t="s">
        <v>137</v>
      </c>
      <c r="B97" s="22">
        <f t="shared" si="3"/>
        <v>0</v>
      </c>
      <c r="C97" s="22" t="str">
        <f t="shared" si="4"/>
        <v>Antioquia</v>
      </c>
      <c r="D97" s="22" t="str">
        <f t="shared" si="5"/>
        <v>Retiro, Antioquia</v>
      </c>
      <c r="E97" s="23">
        <v>5607</v>
      </c>
      <c r="F97" s="24">
        <v>0.15</v>
      </c>
      <c r="G97" s="24">
        <v>0.2</v>
      </c>
      <c r="H97" s="24" t="s">
        <v>36</v>
      </c>
      <c r="I97" s="24">
        <v>0.13</v>
      </c>
      <c r="J97" s="25">
        <v>7.0000000000000007E-2</v>
      </c>
    </row>
    <row r="98" spans="1:10" x14ac:dyDescent="0.3">
      <c r="A98" s="21" t="s">
        <v>138</v>
      </c>
      <c r="B98" s="22">
        <f t="shared" si="3"/>
        <v>0</v>
      </c>
      <c r="C98" s="22" t="str">
        <f t="shared" si="4"/>
        <v>Antioquia</v>
      </c>
      <c r="D98" s="22" t="str">
        <f t="shared" si="5"/>
        <v>Rionegro, Antioquia</v>
      </c>
      <c r="E98" s="23">
        <v>5615</v>
      </c>
      <c r="F98" s="24">
        <v>0.15</v>
      </c>
      <c r="G98" s="24">
        <v>0.2</v>
      </c>
      <c r="H98" s="24" t="s">
        <v>36</v>
      </c>
      <c r="I98" s="24">
        <v>0.12</v>
      </c>
      <c r="J98" s="25">
        <v>0.06</v>
      </c>
    </row>
    <row r="99" spans="1:10" x14ac:dyDescent="0.3">
      <c r="A99" s="21" t="s">
        <v>139</v>
      </c>
      <c r="B99" s="22">
        <f t="shared" si="3"/>
        <v>0</v>
      </c>
      <c r="C99" s="22" t="str">
        <f t="shared" si="4"/>
        <v>Antioquia</v>
      </c>
      <c r="D99" s="22" t="str">
        <f t="shared" si="5"/>
        <v>Sabanalarga, Antioquia</v>
      </c>
      <c r="E99" s="23">
        <v>5628</v>
      </c>
      <c r="F99" s="24">
        <v>0.2</v>
      </c>
      <c r="G99" s="24">
        <v>0.2</v>
      </c>
      <c r="H99" s="24" t="s">
        <v>36</v>
      </c>
      <c r="I99" s="24">
        <v>0.13</v>
      </c>
      <c r="J99" s="25">
        <v>7.0000000000000007E-2</v>
      </c>
    </row>
    <row r="100" spans="1:10" x14ac:dyDescent="0.3">
      <c r="A100" s="21" t="s">
        <v>140</v>
      </c>
      <c r="B100" s="22">
        <f t="shared" si="3"/>
        <v>0</v>
      </c>
      <c r="C100" s="22" t="str">
        <f t="shared" si="4"/>
        <v>Antioquia</v>
      </c>
      <c r="D100" s="22" t="str">
        <f t="shared" si="5"/>
        <v>Sabaneta, Antioquia</v>
      </c>
      <c r="E100" s="23">
        <v>5631</v>
      </c>
      <c r="F100" s="24">
        <v>0.15</v>
      </c>
      <c r="G100" s="24">
        <v>0.2</v>
      </c>
      <c r="H100" s="24" t="s">
        <v>36</v>
      </c>
      <c r="I100" s="24">
        <v>0.14000000000000001</v>
      </c>
      <c r="J100" s="25">
        <v>0.08</v>
      </c>
    </row>
    <row r="101" spans="1:10" x14ac:dyDescent="0.3">
      <c r="A101" s="21" t="s">
        <v>141</v>
      </c>
      <c r="B101" s="22">
        <f t="shared" si="3"/>
        <v>0</v>
      </c>
      <c r="C101" s="22" t="str">
        <f t="shared" si="4"/>
        <v>Antioquia</v>
      </c>
      <c r="D101" s="22" t="str">
        <f t="shared" si="5"/>
        <v>Salgar, Antioquia</v>
      </c>
      <c r="E101" s="23">
        <v>5642</v>
      </c>
      <c r="F101" s="24">
        <v>0.25</v>
      </c>
      <c r="G101" s="24">
        <v>0.25</v>
      </c>
      <c r="H101" s="24" t="s">
        <v>39</v>
      </c>
      <c r="I101" s="24">
        <v>0.15</v>
      </c>
      <c r="J101" s="25">
        <v>0.09</v>
      </c>
    </row>
    <row r="102" spans="1:10" x14ac:dyDescent="0.3">
      <c r="A102" s="21" t="s">
        <v>142</v>
      </c>
      <c r="B102" s="22">
        <f t="shared" si="3"/>
        <v>0</v>
      </c>
      <c r="C102" s="22" t="str">
        <f t="shared" si="4"/>
        <v>Antioquia</v>
      </c>
      <c r="D102" s="22" t="str">
        <f t="shared" si="5"/>
        <v>San Andrés, Antioquia</v>
      </c>
      <c r="E102" s="23">
        <v>5647</v>
      </c>
      <c r="F102" s="24">
        <v>0.15</v>
      </c>
      <c r="G102" s="24">
        <v>0.2</v>
      </c>
      <c r="H102" s="24" t="s">
        <v>36</v>
      </c>
      <c r="I102" s="24">
        <v>0.12</v>
      </c>
      <c r="J102" s="25">
        <v>0.06</v>
      </c>
    </row>
    <row r="103" spans="1:10" x14ac:dyDescent="0.3">
      <c r="A103" s="21" t="s">
        <v>143</v>
      </c>
      <c r="B103" s="22">
        <f t="shared" si="3"/>
        <v>0</v>
      </c>
      <c r="C103" s="22" t="str">
        <f t="shared" si="4"/>
        <v>Antioquia</v>
      </c>
      <c r="D103" s="22" t="str">
        <f t="shared" si="5"/>
        <v>San Carlos, Antioquia</v>
      </c>
      <c r="E103" s="23">
        <v>5649</v>
      </c>
      <c r="F103" s="24">
        <v>0.15</v>
      </c>
      <c r="G103" s="24">
        <v>0.2</v>
      </c>
      <c r="H103" s="24" t="s">
        <v>36</v>
      </c>
      <c r="I103" s="24">
        <v>0.1</v>
      </c>
      <c r="J103" s="25">
        <v>0.06</v>
      </c>
    </row>
    <row r="104" spans="1:10" x14ac:dyDescent="0.3">
      <c r="A104" s="21" t="s">
        <v>144</v>
      </c>
      <c r="B104" s="22">
        <f t="shared" si="3"/>
        <v>0</v>
      </c>
      <c r="C104" s="22" t="str">
        <f t="shared" si="4"/>
        <v>Antioquia</v>
      </c>
      <c r="D104" s="22" t="str">
        <f t="shared" si="5"/>
        <v>San Francisco, Antioquia</v>
      </c>
      <c r="E104" s="23">
        <v>5652</v>
      </c>
      <c r="F104" s="24">
        <v>0.15</v>
      </c>
      <c r="G104" s="24">
        <v>0.2</v>
      </c>
      <c r="H104" s="24" t="s">
        <v>36</v>
      </c>
      <c r="I104" s="24">
        <v>0.13</v>
      </c>
      <c r="J104" s="25">
        <v>7.0000000000000007E-2</v>
      </c>
    </row>
    <row r="105" spans="1:10" x14ac:dyDescent="0.3">
      <c r="A105" s="21" t="s">
        <v>145</v>
      </c>
      <c r="B105" s="22">
        <f t="shared" si="3"/>
        <v>0</v>
      </c>
      <c r="C105" s="22" t="str">
        <f t="shared" si="4"/>
        <v>Antioquia</v>
      </c>
      <c r="D105" s="22" t="str">
        <f t="shared" si="5"/>
        <v>San Jerónimo, Antioquia</v>
      </c>
      <c r="E105" s="23">
        <v>5656</v>
      </c>
      <c r="F105" s="24">
        <v>0.15</v>
      </c>
      <c r="G105" s="24">
        <v>0.2</v>
      </c>
      <c r="H105" s="24" t="s">
        <v>36</v>
      </c>
      <c r="I105" s="24">
        <v>0.15</v>
      </c>
      <c r="J105" s="25">
        <v>0.08</v>
      </c>
    </row>
    <row r="106" spans="1:10" x14ac:dyDescent="0.3">
      <c r="A106" s="21" t="s">
        <v>146</v>
      </c>
      <c r="B106" s="22">
        <f t="shared" si="3"/>
        <v>0</v>
      </c>
      <c r="C106" s="22" t="str">
        <f t="shared" si="4"/>
        <v>Antioquia</v>
      </c>
      <c r="D106" s="22" t="str">
        <f t="shared" si="5"/>
        <v>San José De La Montaña, Antioquia</v>
      </c>
      <c r="E106" s="23">
        <v>5658</v>
      </c>
      <c r="F106" s="24">
        <v>0.15</v>
      </c>
      <c r="G106" s="24">
        <v>0.2</v>
      </c>
      <c r="H106" s="24" t="s">
        <v>36</v>
      </c>
      <c r="I106" s="24">
        <v>0.12</v>
      </c>
      <c r="J106" s="25">
        <v>0.06</v>
      </c>
    </row>
    <row r="107" spans="1:10" x14ac:dyDescent="0.3">
      <c r="A107" s="21" t="s">
        <v>147</v>
      </c>
      <c r="B107" s="22">
        <f t="shared" si="3"/>
        <v>0</v>
      </c>
      <c r="C107" s="22" t="str">
        <f t="shared" si="4"/>
        <v>Antioquia</v>
      </c>
      <c r="D107" s="22" t="str">
        <f t="shared" si="5"/>
        <v>San Juan De Urabá, Antioquia</v>
      </c>
      <c r="E107" s="23">
        <v>5659</v>
      </c>
      <c r="F107" s="24">
        <v>0.1</v>
      </c>
      <c r="G107" s="24">
        <v>0.2</v>
      </c>
      <c r="H107" s="24" t="s">
        <v>36</v>
      </c>
      <c r="I107" s="24">
        <v>0.06</v>
      </c>
      <c r="J107" s="25">
        <v>0.03</v>
      </c>
    </row>
    <row r="108" spans="1:10" x14ac:dyDescent="0.3">
      <c r="A108" s="21" t="s">
        <v>148</v>
      </c>
      <c r="B108" s="22">
        <f t="shared" si="3"/>
        <v>0</v>
      </c>
      <c r="C108" s="22" t="str">
        <f t="shared" si="4"/>
        <v>Antioquia</v>
      </c>
      <c r="D108" s="22" t="str">
        <f t="shared" si="5"/>
        <v>San Luis, Antioquia</v>
      </c>
      <c r="E108" s="23">
        <v>5660</v>
      </c>
      <c r="F108" s="24">
        <v>0.15</v>
      </c>
      <c r="G108" s="37">
        <v>0.2</v>
      </c>
      <c r="H108" s="37" t="s">
        <v>36</v>
      </c>
      <c r="I108" s="24">
        <v>0.12</v>
      </c>
      <c r="J108" s="25">
        <v>0.06</v>
      </c>
    </row>
    <row r="109" spans="1:10" x14ac:dyDescent="0.3">
      <c r="A109" s="21" t="s">
        <v>149</v>
      </c>
      <c r="B109" s="22">
        <f t="shared" si="3"/>
        <v>0</v>
      </c>
      <c r="C109" s="22" t="str">
        <f t="shared" si="4"/>
        <v>Antioquia</v>
      </c>
      <c r="D109" s="22" t="str">
        <f t="shared" si="5"/>
        <v>San Pedro, Antioquia</v>
      </c>
      <c r="E109" s="23">
        <v>5664</v>
      </c>
      <c r="F109" s="24">
        <v>0.15</v>
      </c>
      <c r="G109" s="24">
        <v>0.2</v>
      </c>
      <c r="H109" s="24" t="s">
        <v>36</v>
      </c>
      <c r="I109" s="24">
        <v>0.12</v>
      </c>
      <c r="J109" s="25">
        <v>0.06</v>
      </c>
    </row>
    <row r="110" spans="1:10" x14ac:dyDescent="0.3">
      <c r="A110" s="21" t="s">
        <v>150</v>
      </c>
      <c r="B110" s="22">
        <f t="shared" si="3"/>
        <v>0</v>
      </c>
      <c r="C110" s="22" t="str">
        <f t="shared" si="4"/>
        <v>Antioquia</v>
      </c>
      <c r="D110" s="22" t="str">
        <f t="shared" si="5"/>
        <v>San Pedro De Urabá, Antioquia</v>
      </c>
      <c r="E110" s="23">
        <v>5665</v>
      </c>
      <c r="F110" s="24">
        <v>0.15</v>
      </c>
      <c r="G110" s="24">
        <v>0.2</v>
      </c>
      <c r="H110" s="24" t="s">
        <v>36</v>
      </c>
      <c r="I110" s="24">
        <v>0.06</v>
      </c>
      <c r="J110" s="25">
        <v>0.04</v>
      </c>
    </row>
    <row r="111" spans="1:10" x14ac:dyDescent="0.3">
      <c r="A111" s="21" t="s">
        <v>151</v>
      </c>
      <c r="B111" s="22">
        <f t="shared" si="3"/>
        <v>0</v>
      </c>
      <c r="C111" s="22" t="str">
        <f t="shared" si="4"/>
        <v>Antioquia</v>
      </c>
      <c r="D111" s="22" t="str">
        <f t="shared" si="5"/>
        <v>San Rafael, Antioquia</v>
      </c>
      <c r="E111" s="23">
        <v>5667</v>
      </c>
      <c r="F111" s="24">
        <v>0.15</v>
      </c>
      <c r="G111" s="24">
        <v>0.2</v>
      </c>
      <c r="H111" s="24" t="s">
        <v>36</v>
      </c>
      <c r="I111" s="24">
        <v>0.09</v>
      </c>
      <c r="J111" s="25">
        <v>0.05</v>
      </c>
    </row>
    <row r="112" spans="1:10" x14ac:dyDescent="0.3">
      <c r="A112" s="21" t="s">
        <v>152</v>
      </c>
      <c r="B112" s="22">
        <f t="shared" si="3"/>
        <v>0</v>
      </c>
      <c r="C112" s="22" t="str">
        <f t="shared" si="4"/>
        <v>Antioquia</v>
      </c>
      <c r="D112" s="22" t="str">
        <f t="shared" si="5"/>
        <v>San Roque, Antioquia</v>
      </c>
      <c r="E112" s="23">
        <v>5670</v>
      </c>
      <c r="F112" s="24">
        <v>0.15</v>
      </c>
      <c r="G112" s="24">
        <v>0.2</v>
      </c>
      <c r="H112" s="24" t="s">
        <v>36</v>
      </c>
      <c r="I112" s="24">
        <v>0.08</v>
      </c>
      <c r="J112" s="25">
        <v>0.05</v>
      </c>
    </row>
    <row r="113" spans="1:10" x14ac:dyDescent="0.3">
      <c r="A113" s="21" t="s">
        <v>153</v>
      </c>
      <c r="B113" s="22">
        <f t="shared" si="3"/>
        <v>0</v>
      </c>
      <c r="C113" s="22" t="str">
        <f t="shared" si="4"/>
        <v>Antioquia</v>
      </c>
      <c r="D113" s="22" t="str">
        <f t="shared" si="5"/>
        <v>San Vicente, Antioquia</v>
      </c>
      <c r="E113" s="23">
        <v>5674</v>
      </c>
      <c r="F113" s="24">
        <v>0.15</v>
      </c>
      <c r="G113" s="24">
        <v>0.2</v>
      </c>
      <c r="H113" s="24" t="s">
        <v>36</v>
      </c>
      <c r="I113" s="24">
        <v>0.11</v>
      </c>
      <c r="J113" s="25">
        <v>0.06</v>
      </c>
    </row>
    <row r="114" spans="1:10" x14ac:dyDescent="0.3">
      <c r="A114" s="21" t="s">
        <v>154</v>
      </c>
      <c r="B114" s="22">
        <f t="shared" si="3"/>
        <v>0</v>
      </c>
      <c r="C114" s="22" t="str">
        <f t="shared" si="4"/>
        <v>Antioquia</v>
      </c>
      <c r="D114" s="22" t="str">
        <f t="shared" si="5"/>
        <v>Santa Bárbara, Antioquia</v>
      </c>
      <c r="E114" s="23">
        <v>5679</v>
      </c>
      <c r="F114" s="24">
        <v>0.2</v>
      </c>
      <c r="G114" s="24">
        <v>0.25</v>
      </c>
      <c r="H114" s="24" t="s">
        <v>39</v>
      </c>
      <c r="I114" s="24">
        <v>0.16</v>
      </c>
      <c r="J114" s="25">
        <v>0.09</v>
      </c>
    </row>
    <row r="115" spans="1:10" x14ac:dyDescent="0.3">
      <c r="A115" s="21" t="s">
        <v>155</v>
      </c>
      <c r="B115" s="22">
        <f t="shared" si="3"/>
        <v>0</v>
      </c>
      <c r="C115" s="22" t="str">
        <f t="shared" si="4"/>
        <v>Antioquia</v>
      </c>
      <c r="D115" s="22" t="str">
        <f t="shared" si="5"/>
        <v>Santa Rosa De Osos, Antioquia</v>
      </c>
      <c r="E115" s="23">
        <v>5686</v>
      </c>
      <c r="F115" s="24">
        <v>0.15</v>
      </c>
      <c r="G115" s="24">
        <v>0.2</v>
      </c>
      <c r="H115" s="24" t="s">
        <v>36</v>
      </c>
      <c r="I115" s="24">
        <v>0.1</v>
      </c>
      <c r="J115" s="25">
        <v>0.05</v>
      </c>
    </row>
    <row r="116" spans="1:10" x14ac:dyDescent="0.3">
      <c r="A116" s="21" t="s">
        <v>156</v>
      </c>
      <c r="B116" s="22">
        <f t="shared" si="3"/>
        <v>0</v>
      </c>
      <c r="C116" s="22" t="str">
        <f t="shared" si="4"/>
        <v>Antioquia</v>
      </c>
      <c r="D116" s="22" t="str">
        <f t="shared" si="5"/>
        <v>Santafé De Antioquia, Antioquia</v>
      </c>
      <c r="E116" s="23">
        <v>5042</v>
      </c>
      <c r="F116" s="24">
        <v>0.2</v>
      </c>
      <c r="G116" s="37">
        <v>0.25</v>
      </c>
      <c r="H116" s="37" t="s">
        <v>39</v>
      </c>
      <c r="I116" s="24">
        <v>0.13</v>
      </c>
      <c r="J116" s="25">
        <v>7.0000000000000007E-2</v>
      </c>
    </row>
    <row r="117" spans="1:10" x14ac:dyDescent="0.3">
      <c r="A117" s="21" t="s">
        <v>157</v>
      </c>
      <c r="B117" s="22">
        <f t="shared" si="3"/>
        <v>0</v>
      </c>
      <c r="C117" s="22" t="str">
        <f t="shared" si="4"/>
        <v>Antioquia</v>
      </c>
      <c r="D117" s="22" t="str">
        <f t="shared" si="5"/>
        <v>Santo Domingo, Antioquia</v>
      </c>
      <c r="E117" s="23">
        <v>5690</v>
      </c>
      <c r="F117" s="24">
        <v>0.15</v>
      </c>
      <c r="G117" s="24">
        <v>0.2</v>
      </c>
      <c r="H117" s="24" t="s">
        <v>36</v>
      </c>
      <c r="I117" s="24">
        <v>0.09</v>
      </c>
      <c r="J117" s="25">
        <v>0.05</v>
      </c>
    </row>
    <row r="118" spans="1:10" x14ac:dyDescent="0.3">
      <c r="A118" s="21" t="s">
        <v>158</v>
      </c>
      <c r="B118" s="22">
        <f t="shared" si="3"/>
        <v>0</v>
      </c>
      <c r="C118" s="22" t="str">
        <f t="shared" si="4"/>
        <v>Antioquia</v>
      </c>
      <c r="D118" s="22" t="str">
        <f t="shared" si="5"/>
        <v>Santuario, Antioquia</v>
      </c>
      <c r="E118" s="23">
        <v>5697</v>
      </c>
      <c r="F118" s="24">
        <v>0.15</v>
      </c>
      <c r="G118" s="24">
        <v>0.2</v>
      </c>
      <c r="H118" s="24" t="s">
        <v>36</v>
      </c>
      <c r="I118" s="24">
        <v>0.11</v>
      </c>
      <c r="J118" s="25">
        <v>0.06</v>
      </c>
    </row>
    <row r="119" spans="1:10" x14ac:dyDescent="0.3">
      <c r="A119" s="21" t="s">
        <v>159</v>
      </c>
      <c r="B119" s="22">
        <f t="shared" si="3"/>
        <v>0</v>
      </c>
      <c r="C119" s="22" t="str">
        <f t="shared" si="4"/>
        <v>Antioquia</v>
      </c>
      <c r="D119" s="22" t="str">
        <f t="shared" si="5"/>
        <v>Segovia, Antioquia</v>
      </c>
      <c r="E119" s="23">
        <v>5736</v>
      </c>
      <c r="F119" s="24">
        <v>0.15</v>
      </c>
      <c r="G119" s="24">
        <v>0.2</v>
      </c>
      <c r="H119" s="24" t="s">
        <v>36</v>
      </c>
      <c r="I119" s="24">
        <v>0.1</v>
      </c>
      <c r="J119" s="25">
        <v>0.05</v>
      </c>
    </row>
    <row r="120" spans="1:10" x14ac:dyDescent="0.3">
      <c r="A120" s="21" t="s">
        <v>160</v>
      </c>
      <c r="B120" s="22">
        <f t="shared" si="3"/>
        <v>0</v>
      </c>
      <c r="C120" s="22" t="str">
        <f t="shared" si="4"/>
        <v>Antioquia</v>
      </c>
      <c r="D120" s="22" t="str">
        <f t="shared" si="5"/>
        <v>Sonsón, Antioquia</v>
      </c>
      <c r="E120" s="23">
        <v>5756</v>
      </c>
      <c r="F120" s="24">
        <v>0.15</v>
      </c>
      <c r="G120" s="24">
        <v>0.2</v>
      </c>
      <c r="H120" s="24" t="s">
        <v>36</v>
      </c>
      <c r="I120" s="24">
        <v>0.12</v>
      </c>
      <c r="J120" s="25">
        <v>7.0000000000000007E-2</v>
      </c>
    </row>
    <row r="121" spans="1:10" x14ac:dyDescent="0.3">
      <c r="A121" s="21" t="s">
        <v>161</v>
      </c>
      <c r="B121" s="22">
        <f t="shared" si="3"/>
        <v>0</v>
      </c>
      <c r="C121" s="22" t="str">
        <f t="shared" si="4"/>
        <v>Antioquia</v>
      </c>
      <c r="D121" s="22" t="str">
        <f t="shared" si="5"/>
        <v>Sopetrán, Antioquia</v>
      </c>
      <c r="E121" s="23">
        <v>5761</v>
      </c>
      <c r="F121" s="24">
        <v>0.15</v>
      </c>
      <c r="G121" s="24">
        <v>0.2</v>
      </c>
      <c r="H121" s="24" t="s">
        <v>36</v>
      </c>
      <c r="I121" s="24">
        <v>0.15</v>
      </c>
      <c r="J121" s="25">
        <v>0.08</v>
      </c>
    </row>
    <row r="122" spans="1:10" x14ac:dyDescent="0.3">
      <c r="A122" s="21" t="s">
        <v>162</v>
      </c>
      <c r="B122" s="22">
        <f t="shared" si="3"/>
        <v>0</v>
      </c>
      <c r="C122" s="22" t="str">
        <f t="shared" si="4"/>
        <v>Antioquia</v>
      </c>
      <c r="D122" s="22" t="str">
        <f t="shared" si="5"/>
        <v>Támesis, Antioquia</v>
      </c>
      <c r="E122" s="23">
        <v>5789</v>
      </c>
      <c r="F122" s="24">
        <v>0.25</v>
      </c>
      <c r="G122" s="24">
        <v>0.25</v>
      </c>
      <c r="H122" s="24" t="s">
        <v>39</v>
      </c>
      <c r="I122" s="24">
        <v>0.16</v>
      </c>
      <c r="J122" s="25">
        <v>0.09</v>
      </c>
    </row>
    <row r="123" spans="1:10" x14ac:dyDescent="0.3">
      <c r="A123" s="21" t="s">
        <v>163</v>
      </c>
      <c r="B123" s="22">
        <f t="shared" si="3"/>
        <v>0</v>
      </c>
      <c r="C123" s="22" t="str">
        <f t="shared" si="4"/>
        <v>Antioquia</v>
      </c>
      <c r="D123" s="22" t="str">
        <f t="shared" si="5"/>
        <v>Tarazá, Antioquia</v>
      </c>
      <c r="E123" s="23">
        <v>5790</v>
      </c>
      <c r="F123" s="24">
        <v>0.15</v>
      </c>
      <c r="G123" s="24">
        <v>0.2</v>
      </c>
      <c r="H123" s="24" t="s">
        <v>36</v>
      </c>
      <c r="I123" s="24">
        <v>0.08</v>
      </c>
      <c r="J123" s="25">
        <v>0.04</v>
      </c>
    </row>
    <row r="124" spans="1:10" x14ac:dyDescent="0.3">
      <c r="A124" s="21" t="s">
        <v>164</v>
      </c>
      <c r="B124" s="22">
        <f t="shared" si="3"/>
        <v>0</v>
      </c>
      <c r="C124" s="22" t="str">
        <f t="shared" si="4"/>
        <v>Antioquia</v>
      </c>
      <c r="D124" s="22" t="str">
        <f t="shared" si="5"/>
        <v>Tarso, Antioquia</v>
      </c>
      <c r="E124" s="23">
        <v>5792</v>
      </c>
      <c r="F124" s="24">
        <v>0.25</v>
      </c>
      <c r="G124" s="24">
        <v>0.25</v>
      </c>
      <c r="H124" s="24" t="s">
        <v>39</v>
      </c>
      <c r="I124" s="24">
        <v>0.16</v>
      </c>
      <c r="J124" s="25">
        <v>0.09</v>
      </c>
    </row>
    <row r="125" spans="1:10" x14ac:dyDescent="0.3">
      <c r="A125" s="21" t="s">
        <v>165</v>
      </c>
      <c r="B125" s="22">
        <f t="shared" si="3"/>
        <v>0</v>
      </c>
      <c r="C125" s="22" t="str">
        <f t="shared" si="4"/>
        <v>Antioquia</v>
      </c>
      <c r="D125" s="22" t="str">
        <f t="shared" si="5"/>
        <v>Titiribí, Antioquia</v>
      </c>
      <c r="E125" s="23">
        <v>5809</v>
      </c>
      <c r="F125" s="24">
        <v>0.2</v>
      </c>
      <c r="G125" s="37">
        <v>0.25</v>
      </c>
      <c r="H125" s="37" t="s">
        <v>39</v>
      </c>
      <c r="I125" s="24">
        <v>0.15</v>
      </c>
      <c r="J125" s="25">
        <v>0.08</v>
      </c>
    </row>
    <row r="126" spans="1:10" x14ac:dyDescent="0.3">
      <c r="A126" s="21" t="s">
        <v>166</v>
      </c>
      <c r="B126" s="22">
        <f t="shared" si="3"/>
        <v>0</v>
      </c>
      <c r="C126" s="22" t="str">
        <f t="shared" si="4"/>
        <v>Antioquia</v>
      </c>
      <c r="D126" s="22" t="str">
        <f t="shared" si="5"/>
        <v>Toledo, Antioquia</v>
      </c>
      <c r="E126" s="23">
        <v>5819</v>
      </c>
      <c r="F126" s="24">
        <v>0.15</v>
      </c>
      <c r="G126" s="24">
        <v>0.2</v>
      </c>
      <c r="H126" s="24" t="s">
        <v>36</v>
      </c>
      <c r="I126" s="24">
        <v>0.13</v>
      </c>
      <c r="J126" s="25">
        <v>7.0000000000000007E-2</v>
      </c>
    </row>
    <row r="127" spans="1:10" x14ac:dyDescent="0.3">
      <c r="A127" s="21" t="s">
        <v>167</v>
      </c>
      <c r="B127" s="22">
        <f t="shared" si="3"/>
        <v>0</v>
      </c>
      <c r="C127" s="22" t="str">
        <f t="shared" si="4"/>
        <v>Antioquia</v>
      </c>
      <c r="D127" s="22" t="str">
        <f t="shared" si="5"/>
        <v>Turbo, Antioquia</v>
      </c>
      <c r="E127" s="23">
        <v>5837</v>
      </c>
      <c r="F127" s="24">
        <v>0.25</v>
      </c>
      <c r="G127" s="24">
        <v>0.25</v>
      </c>
      <c r="H127" s="24" t="s">
        <v>39</v>
      </c>
      <c r="I127" s="24">
        <v>0.13</v>
      </c>
      <c r="J127" s="25">
        <v>7.0000000000000007E-2</v>
      </c>
    </row>
    <row r="128" spans="1:10" x14ac:dyDescent="0.3">
      <c r="A128" s="21" t="s">
        <v>168</v>
      </c>
      <c r="B128" s="22">
        <f t="shared" si="3"/>
        <v>0</v>
      </c>
      <c r="C128" s="22" t="str">
        <f t="shared" si="4"/>
        <v>Antioquia</v>
      </c>
      <c r="D128" s="22" t="str">
        <f t="shared" si="5"/>
        <v>Uramita, Antioquia</v>
      </c>
      <c r="E128" s="23">
        <v>5842</v>
      </c>
      <c r="F128" s="24">
        <v>0.25</v>
      </c>
      <c r="G128" s="24">
        <v>0.25</v>
      </c>
      <c r="H128" s="24" t="s">
        <v>39</v>
      </c>
      <c r="I128" s="24">
        <v>0.12</v>
      </c>
      <c r="J128" s="25">
        <v>7.0000000000000007E-2</v>
      </c>
    </row>
    <row r="129" spans="1:10" x14ac:dyDescent="0.3">
      <c r="A129" s="21" t="s">
        <v>169</v>
      </c>
      <c r="B129" s="22">
        <f t="shared" si="3"/>
        <v>0</v>
      </c>
      <c r="C129" s="22" t="str">
        <f t="shared" si="4"/>
        <v>Antioquia</v>
      </c>
      <c r="D129" s="22" t="str">
        <f t="shared" si="5"/>
        <v>Urrao, Antioquia</v>
      </c>
      <c r="E129" s="23">
        <v>5847</v>
      </c>
      <c r="F129" s="24">
        <v>0.3</v>
      </c>
      <c r="G129" s="24">
        <v>0.3</v>
      </c>
      <c r="H129" s="24" t="s">
        <v>39</v>
      </c>
      <c r="I129" s="24">
        <v>0.17</v>
      </c>
      <c r="J129" s="25">
        <v>0.1</v>
      </c>
    </row>
    <row r="130" spans="1:10" x14ac:dyDescent="0.3">
      <c r="A130" s="21" t="s">
        <v>170</v>
      </c>
      <c r="B130" s="22">
        <f t="shared" si="3"/>
        <v>0</v>
      </c>
      <c r="C130" s="22" t="str">
        <f t="shared" si="4"/>
        <v>Antioquia</v>
      </c>
      <c r="D130" s="22" t="str">
        <f t="shared" si="5"/>
        <v>Valdivia, Antioquia</v>
      </c>
      <c r="E130" s="23">
        <v>5854</v>
      </c>
      <c r="F130" s="24">
        <v>0.15</v>
      </c>
      <c r="G130" s="24">
        <v>0.2</v>
      </c>
      <c r="H130" s="24" t="s">
        <v>36</v>
      </c>
      <c r="I130" s="24">
        <v>0.11</v>
      </c>
      <c r="J130" s="25">
        <v>0.05</v>
      </c>
    </row>
    <row r="131" spans="1:10" x14ac:dyDescent="0.3">
      <c r="A131" s="21" t="s">
        <v>171</v>
      </c>
      <c r="B131" s="22">
        <f t="shared" ref="B131:B194" si="6">IFERROR(FIND("Departamento",A131),0)</f>
        <v>0</v>
      </c>
      <c r="C131" s="22" t="str">
        <f t="shared" ref="C131:C194" si="7">IF(B131=1,IF(ISERROR(FIND("del",A131)),MID(A131,17,30),MID(A131,18,30)),C130)</f>
        <v>Antioquia</v>
      </c>
      <c r="D131" s="22" t="str">
        <f t="shared" ref="D131:D194" si="8">IF(B131=1,"",CONCATENATE(A131,", ",C131))</f>
        <v>Valparaíso, Antioquia</v>
      </c>
      <c r="E131" s="23">
        <v>5856</v>
      </c>
      <c r="F131" s="24">
        <v>0.25</v>
      </c>
      <c r="G131" s="24">
        <v>0.25</v>
      </c>
      <c r="H131" s="24" t="s">
        <v>39</v>
      </c>
      <c r="I131" s="24">
        <v>0.15</v>
      </c>
      <c r="J131" s="25">
        <v>0.09</v>
      </c>
    </row>
    <row r="132" spans="1:10" x14ac:dyDescent="0.3">
      <c r="A132" s="21" t="s">
        <v>172</v>
      </c>
      <c r="B132" s="22">
        <f t="shared" si="6"/>
        <v>0</v>
      </c>
      <c r="C132" s="22" t="str">
        <f t="shared" si="7"/>
        <v>Antioquia</v>
      </c>
      <c r="D132" s="22" t="str">
        <f t="shared" si="8"/>
        <v>Vegachí, Antioquia</v>
      </c>
      <c r="E132" s="23">
        <v>5858</v>
      </c>
      <c r="F132" s="24">
        <v>0.15</v>
      </c>
      <c r="G132" s="24">
        <v>0.2</v>
      </c>
      <c r="H132" s="24" t="s">
        <v>36</v>
      </c>
      <c r="I132" s="24">
        <v>0.08</v>
      </c>
      <c r="J132" s="25">
        <v>0.05</v>
      </c>
    </row>
    <row r="133" spans="1:10" x14ac:dyDescent="0.3">
      <c r="A133" s="21" t="s">
        <v>173</v>
      </c>
      <c r="B133" s="22">
        <f t="shared" si="6"/>
        <v>0</v>
      </c>
      <c r="C133" s="22" t="str">
        <f t="shared" si="7"/>
        <v>Antioquia</v>
      </c>
      <c r="D133" s="22" t="str">
        <f t="shared" si="8"/>
        <v>Venecia, Antioquia</v>
      </c>
      <c r="E133" s="23">
        <v>5861</v>
      </c>
      <c r="F133" s="24">
        <v>0.2</v>
      </c>
      <c r="G133" s="24">
        <v>0.25</v>
      </c>
      <c r="H133" s="24" t="s">
        <v>39</v>
      </c>
      <c r="I133" s="24">
        <v>0.15</v>
      </c>
      <c r="J133" s="25">
        <v>0.08</v>
      </c>
    </row>
    <row r="134" spans="1:10" x14ac:dyDescent="0.3">
      <c r="A134" s="21" t="s">
        <v>174</v>
      </c>
      <c r="B134" s="22">
        <f t="shared" si="6"/>
        <v>0</v>
      </c>
      <c r="C134" s="22" t="str">
        <f t="shared" si="7"/>
        <v>Antioquia</v>
      </c>
      <c r="D134" s="22" t="str">
        <f t="shared" si="8"/>
        <v>Vigía del Fuerte, Antioquia</v>
      </c>
      <c r="E134" s="23">
        <v>5873</v>
      </c>
      <c r="F134" s="24">
        <v>0.35</v>
      </c>
      <c r="G134" s="24">
        <v>0.35</v>
      </c>
      <c r="H134" s="24" t="s">
        <v>39</v>
      </c>
      <c r="I134" s="24">
        <v>0.22</v>
      </c>
      <c r="J134" s="25">
        <v>0.12</v>
      </c>
    </row>
    <row r="135" spans="1:10" x14ac:dyDescent="0.3">
      <c r="A135" s="21" t="s">
        <v>175</v>
      </c>
      <c r="B135" s="22">
        <f t="shared" si="6"/>
        <v>0</v>
      </c>
      <c r="C135" s="22" t="str">
        <f t="shared" si="7"/>
        <v>Antioquia</v>
      </c>
      <c r="D135" s="22" t="str">
        <f t="shared" si="8"/>
        <v>Yalí, Antioquia</v>
      </c>
      <c r="E135" s="23">
        <v>5885</v>
      </c>
      <c r="F135" s="24">
        <v>0.15</v>
      </c>
      <c r="G135" s="24">
        <v>0.2</v>
      </c>
      <c r="H135" s="24" t="s">
        <v>36</v>
      </c>
      <c r="I135" s="24">
        <v>0.09</v>
      </c>
      <c r="J135" s="25">
        <v>0.05</v>
      </c>
    </row>
    <row r="136" spans="1:10" x14ac:dyDescent="0.3">
      <c r="A136" s="21" t="s">
        <v>176</v>
      </c>
      <c r="B136" s="22">
        <f t="shared" si="6"/>
        <v>0</v>
      </c>
      <c r="C136" s="22" t="str">
        <f t="shared" si="7"/>
        <v>Antioquia</v>
      </c>
      <c r="D136" s="22" t="str">
        <f t="shared" si="8"/>
        <v>Yarumal, Antioquia</v>
      </c>
      <c r="E136" s="23">
        <v>5887</v>
      </c>
      <c r="F136" s="24">
        <v>0.15</v>
      </c>
      <c r="G136" s="24">
        <v>0.2</v>
      </c>
      <c r="H136" s="24" t="s">
        <v>36</v>
      </c>
      <c r="I136" s="24">
        <v>0.09</v>
      </c>
      <c r="J136" s="25">
        <v>0.05</v>
      </c>
    </row>
    <row r="137" spans="1:10" x14ac:dyDescent="0.3">
      <c r="A137" s="21" t="s">
        <v>177</v>
      </c>
      <c r="B137" s="22">
        <f t="shared" si="6"/>
        <v>0</v>
      </c>
      <c r="C137" s="22" t="str">
        <f t="shared" si="7"/>
        <v>Antioquia</v>
      </c>
      <c r="D137" s="22" t="str">
        <f t="shared" si="8"/>
        <v>Yolombó, Antioquia</v>
      </c>
      <c r="E137" s="23">
        <v>5890</v>
      </c>
      <c r="F137" s="24">
        <v>0.15</v>
      </c>
      <c r="G137" s="24">
        <v>0.2</v>
      </c>
      <c r="H137" s="24" t="s">
        <v>36</v>
      </c>
      <c r="I137" s="24">
        <v>0.08</v>
      </c>
      <c r="J137" s="25">
        <v>0.04</v>
      </c>
    </row>
    <row r="138" spans="1:10" x14ac:dyDescent="0.3">
      <c r="A138" s="21" t="s">
        <v>178</v>
      </c>
      <c r="B138" s="22">
        <f t="shared" si="6"/>
        <v>0</v>
      </c>
      <c r="C138" s="22" t="str">
        <f t="shared" si="7"/>
        <v>Antioquia</v>
      </c>
      <c r="D138" s="22" t="str">
        <f t="shared" si="8"/>
        <v>Yondó, Antioquia</v>
      </c>
      <c r="E138" s="23">
        <v>5893</v>
      </c>
      <c r="F138" s="24">
        <v>0.15</v>
      </c>
      <c r="G138" s="24">
        <v>0.15</v>
      </c>
      <c r="H138" s="24" t="s">
        <v>36</v>
      </c>
      <c r="I138" s="24">
        <v>0.06</v>
      </c>
      <c r="J138" s="25">
        <v>0.04</v>
      </c>
    </row>
    <row r="139" spans="1:10" ht="17.25" thickBot="1" x14ac:dyDescent="0.35">
      <c r="A139" s="38" t="s">
        <v>179</v>
      </c>
      <c r="B139" s="39">
        <f t="shared" si="6"/>
        <v>0</v>
      </c>
      <c r="C139" s="39" t="str">
        <f t="shared" si="7"/>
        <v>Antioquia</v>
      </c>
      <c r="D139" s="39" t="str">
        <f t="shared" si="8"/>
        <v>Zaragoza, Antioquia</v>
      </c>
      <c r="E139" s="40">
        <v>5895</v>
      </c>
      <c r="F139" s="41">
        <v>0.15</v>
      </c>
      <c r="G139" s="41">
        <v>0.2</v>
      </c>
      <c r="H139" s="41" t="s">
        <v>36</v>
      </c>
      <c r="I139" s="41">
        <v>0.05</v>
      </c>
      <c r="J139" s="42">
        <v>0.03</v>
      </c>
    </row>
    <row r="140" spans="1:10" ht="17.25" thickBot="1" x14ac:dyDescent="0.35">
      <c r="A140" s="43" t="s">
        <v>180</v>
      </c>
      <c r="B140" s="44">
        <f t="shared" si="6"/>
        <v>1</v>
      </c>
      <c r="C140" s="44" t="str">
        <f t="shared" si="7"/>
        <v>Arauca</v>
      </c>
      <c r="D140" s="44" t="str">
        <f t="shared" si="8"/>
        <v/>
      </c>
      <c r="E140" s="45"/>
      <c r="F140" s="46"/>
      <c r="G140" s="46"/>
      <c r="H140" s="46"/>
      <c r="I140" s="46"/>
      <c r="J140" s="47"/>
    </row>
    <row r="141" spans="1:10" x14ac:dyDescent="0.3">
      <c r="A141" s="48" t="s">
        <v>60</v>
      </c>
      <c r="B141" s="49">
        <f t="shared" si="6"/>
        <v>0</v>
      </c>
      <c r="C141" s="49" t="str">
        <f t="shared" si="7"/>
        <v>Arauca</v>
      </c>
      <c r="D141" s="49" t="str">
        <f t="shared" si="8"/>
        <v>Arauca, Arauca</v>
      </c>
      <c r="E141" s="50">
        <v>81001</v>
      </c>
      <c r="F141" s="51">
        <v>0.15</v>
      </c>
      <c r="G141" s="51">
        <v>0.15</v>
      </c>
      <c r="H141" s="51" t="s">
        <v>36</v>
      </c>
      <c r="I141" s="51">
        <v>0.1</v>
      </c>
      <c r="J141" s="52">
        <v>0.04</v>
      </c>
    </row>
    <row r="142" spans="1:10" x14ac:dyDescent="0.3">
      <c r="A142" s="21" t="s">
        <v>181</v>
      </c>
      <c r="B142" s="22">
        <f t="shared" si="6"/>
        <v>0</v>
      </c>
      <c r="C142" s="22" t="str">
        <f t="shared" si="7"/>
        <v>Arauca</v>
      </c>
      <c r="D142" s="22" t="str">
        <f t="shared" si="8"/>
        <v>Arauquita, Arauca</v>
      </c>
      <c r="E142" s="23">
        <v>81065</v>
      </c>
      <c r="F142" s="24">
        <v>0.2</v>
      </c>
      <c r="G142" s="24">
        <v>0.15</v>
      </c>
      <c r="H142" s="24" t="s">
        <v>36</v>
      </c>
      <c r="I142" s="24">
        <v>7.0000000000000007E-2</v>
      </c>
      <c r="J142" s="25">
        <v>0.03</v>
      </c>
    </row>
    <row r="143" spans="1:10" x14ac:dyDescent="0.3">
      <c r="A143" s="21" t="s">
        <v>182</v>
      </c>
      <c r="B143" s="22">
        <f t="shared" si="6"/>
        <v>0</v>
      </c>
      <c r="C143" s="22" t="str">
        <f t="shared" si="7"/>
        <v>Arauca</v>
      </c>
      <c r="D143" s="22" t="str">
        <f t="shared" si="8"/>
        <v>Cravo Norte, Arauca</v>
      </c>
      <c r="E143" s="23">
        <v>81220</v>
      </c>
      <c r="F143" s="24">
        <v>0.05</v>
      </c>
      <c r="G143" s="24">
        <v>0.05</v>
      </c>
      <c r="H143" s="24" t="s">
        <v>11</v>
      </c>
      <c r="I143" s="24">
        <v>0.03</v>
      </c>
      <c r="J143" s="25">
        <v>0.02</v>
      </c>
    </row>
    <row r="144" spans="1:10" x14ac:dyDescent="0.3">
      <c r="A144" s="21" t="s">
        <v>183</v>
      </c>
      <c r="B144" s="22">
        <f t="shared" si="6"/>
        <v>0</v>
      </c>
      <c r="C144" s="22" t="str">
        <f t="shared" si="7"/>
        <v>Arauca</v>
      </c>
      <c r="D144" s="22" t="str">
        <f t="shared" si="8"/>
        <v>Fortul, Arauca</v>
      </c>
      <c r="E144" s="23">
        <v>81300</v>
      </c>
      <c r="F144" s="24">
        <v>0.3</v>
      </c>
      <c r="G144" s="24">
        <v>0.2</v>
      </c>
      <c r="H144" s="24" t="s">
        <v>39</v>
      </c>
      <c r="I144" s="24">
        <v>0.32</v>
      </c>
      <c r="J144" s="25">
        <v>0.12</v>
      </c>
    </row>
    <row r="145" spans="1:10" x14ac:dyDescent="0.3">
      <c r="A145" s="21" t="s">
        <v>184</v>
      </c>
      <c r="B145" s="22">
        <f t="shared" si="6"/>
        <v>0</v>
      </c>
      <c r="C145" s="22" t="str">
        <f t="shared" si="7"/>
        <v>Arauca</v>
      </c>
      <c r="D145" s="22" t="str">
        <f t="shared" si="8"/>
        <v>Puerto Rondón, Arauca</v>
      </c>
      <c r="E145" s="23">
        <v>81591</v>
      </c>
      <c r="F145" s="24">
        <v>0.15</v>
      </c>
      <c r="G145" s="24">
        <v>0.15</v>
      </c>
      <c r="H145" s="24" t="s">
        <v>36</v>
      </c>
      <c r="I145" s="24">
        <v>0.14000000000000001</v>
      </c>
      <c r="J145" s="25">
        <v>0.05</v>
      </c>
    </row>
    <row r="146" spans="1:10" x14ac:dyDescent="0.3">
      <c r="A146" s="21" t="s">
        <v>185</v>
      </c>
      <c r="B146" s="22">
        <f t="shared" si="6"/>
        <v>0</v>
      </c>
      <c r="C146" s="22" t="str">
        <f t="shared" si="7"/>
        <v>Arauca</v>
      </c>
      <c r="D146" s="22" t="str">
        <f t="shared" si="8"/>
        <v>Saravena, Arauca</v>
      </c>
      <c r="E146" s="23">
        <v>81736</v>
      </c>
      <c r="F146" s="24">
        <v>0.3</v>
      </c>
      <c r="G146" s="24">
        <v>0.25</v>
      </c>
      <c r="H146" s="24" t="s">
        <v>39</v>
      </c>
      <c r="I146" s="24">
        <v>0.21</v>
      </c>
      <c r="J146" s="25">
        <v>0.08</v>
      </c>
    </row>
    <row r="147" spans="1:10" ht="17.25" thickBot="1" x14ac:dyDescent="0.35">
      <c r="A147" s="38" t="s">
        <v>186</v>
      </c>
      <c r="B147" s="39">
        <f t="shared" si="6"/>
        <v>0</v>
      </c>
      <c r="C147" s="39" t="str">
        <f t="shared" si="7"/>
        <v>Arauca</v>
      </c>
      <c r="D147" s="39" t="str">
        <f t="shared" si="8"/>
        <v>Tame, Arauca</v>
      </c>
      <c r="E147" s="40">
        <v>81794</v>
      </c>
      <c r="F147" s="41">
        <v>0.25</v>
      </c>
      <c r="G147" s="41">
        <v>0.2</v>
      </c>
      <c r="H147" s="41" t="s">
        <v>39</v>
      </c>
      <c r="I147" s="41">
        <v>0.31</v>
      </c>
      <c r="J147" s="42">
        <v>0.1</v>
      </c>
    </row>
    <row r="148" spans="1:10" ht="17.25" thickBot="1" x14ac:dyDescent="0.35">
      <c r="A148" s="43" t="s">
        <v>187</v>
      </c>
      <c r="B148" s="44">
        <v>1</v>
      </c>
      <c r="C148" s="44" t="str">
        <f t="shared" si="7"/>
        <v>San Andrés</v>
      </c>
      <c r="D148" s="44" t="str">
        <f t="shared" si="8"/>
        <v/>
      </c>
      <c r="E148" s="45"/>
      <c r="F148" s="46"/>
      <c r="G148" s="46"/>
      <c r="H148" s="46"/>
      <c r="I148" s="46"/>
      <c r="J148" s="47"/>
    </row>
    <row r="149" spans="1:10" x14ac:dyDescent="0.3">
      <c r="A149" s="48" t="s">
        <v>142</v>
      </c>
      <c r="B149" s="49">
        <f t="shared" si="6"/>
        <v>0</v>
      </c>
      <c r="C149" s="49" t="str">
        <f t="shared" si="7"/>
        <v>San Andrés</v>
      </c>
      <c r="D149" s="49" t="str">
        <f t="shared" si="8"/>
        <v>San Andrés, San Andrés</v>
      </c>
      <c r="E149" s="50">
        <v>88001</v>
      </c>
      <c r="F149" s="51">
        <v>0.1</v>
      </c>
      <c r="G149" s="51">
        <v>0.1</v>
      </c>
      <c r="H149" s="51" t="s">
        <v>11</v>
      </c>
      <c r="I149" s="51">
        <v>0.05</v>
      </c>
      <c r="J149" s="52">
        <v>0.03</v>
      </c>
    </row>
    <row r="150" spans="1:10" ht="17.25" thickBot="1" x14ac:dyDescent="0.35">
      <c r="A150" s="38" t="s">
        <v>188</v>
      </c>
      <c r="B150" s="39">
        <f t="shared" si="6"/>
        <v>0</v>
      </c>
      <c r="C150" s="39" t="str">
        <f t="shared" si="7"/>
        <v>San Andrés</v>
      </c>
      <c r="D150" s="39" t="str">
        <f t="shared" si="8"/>
        <v>Providencia y Santa Catalina, San Andrés</v>
      </c>
      <c r="E150" s="40">
        <v>88564</v>
      </c>
      <c r="F150" s="41">
        <v>0.1</v>
      </c>
      <c r="G150" s="41">
        <v>0.1</v>
      </c>
      <c r="H150" s="41" t="s">
        <v>11</v>
      </c>
      <c r="I150" s="41">
        <v>0.05</v>
      </c>
      <c r="J150" s="42">
        <v>0.03</v>
      </c>
    </row>
    <row r="151" spans="1:10" ht="17.25" thickBot="1" x14ac:dyDescent="0.35">
      <c r="A151" s="43" t="s">
        <v>189</v>
      </c>
      <c r="B151" s="44">
        <f t="shared" si="6"/>
        <v>1</v>
      </c>
      <c r="C151" s="44" t="str">
        <f t="shared" si="7"/>
        <v>Atlántico</v>
      </c>
      <c r="D151" s="44" t="str">
        <f t="shared" si="8"/>
        <v/>
      </c>
      <c r="E151" s="45"/>
      <c r="F151" s="46"/>
      <c r="G151" s="46"/>
      <c r="H151" s="46"/>
      <c r="I151" s="46"/>
      <c r="J151" s="47"/>
    </row>
    <row r="152" spans="1:10" x14ac:dyDescent="0.3">
      <c r="A152" s="48" t="s">
        <v>190</v>
      </c>
      <c r="B152" s="49">
        <f t="shared" si="6"/>
        <v>0</v>
      </c>
      <c r="C152" s="49" t="str">
        <f t="shared" si="7"/>
        <v>Atlántico</v>
      </c>
      <c r="D152" s="49" t="str">
        <f t="shared" si="8"/>
        <v>Barranquilla, Atlántico</v>
      </c>
      <c r="E152" s="50">
        <v>8001</v>
      </c>
      <c r="F152" s="51">
        <v>0.1</v>
      </c>
      <c r="G152" s="51">
        <v>0.1</v>
      </c>
      <c r="H152" s="51" t="s">
        <v>11</v>
      </c>
      <c r="I152" s="51">
        <v>0.05</v>
      </c>
      <c r="J152" s="52">
        <v>0.03</v>
      </c>
    </row>
    <row r="153" spans="1:10" x14ac:dyDescent="0.3">
      <c r="A153" s="21" t="s">
        <v>191</v>
      </c>
      <c r="B153" s="22">
        <f t="shared" si="6"/>
        <v>0</v>
      </c>
      <c r="C153" s="22" t="str">
        <f t="shared" si="7"/>
        <v>Atlántico</v>
      </c>
      <c r="D153" s="22" t="str">
        <f t="shared" si="8"/>
        <v>Baranoa, Atlántico</v>
      </c>
      <c r="E153" s="23">
        <v>8078</v>
      </c>
      <c r="F153" s="24">
        <v>0.1</v>
      </c>
      <c r="G153" s="24">
        <v>0.1</v>
      </c>
      <c r="H153" s="24" t="s">
        <v>11</v>
      </c>
      <c r="I153" s="24">
        <v>0.05</v>
      </c>
      <c r="J153" s="25">
        <v>0.03</v>
      </c>
    </row>
    <row r="154" spans="1:10" x14ac:dyDescent="0.3">
      <c r="A154" s="21" t="s">
        <v>192</v>
      </c>
      <c r="B154" s="22">
        <f t="shared" si="6"/>
        <v>0</v>
      </c>
      <c r="C154" s="22" t="str">
        <f t="shared" si="7"/>
        <v>Atlántico</v>
      </c>
      <c r="D154" s="22" t="str">
        <f t="shared" si="8"/>
        <v>Campo De La Cruz, Atlántico</v>
      </c>
      <c r="E154" s="23">
        <v>8137</v>
      </c>
      <c r="F154" s="24">
        <v>0.1</v>
      </c>
      <c r="G154" s="24">
        <v>0.1</v>
      </c>
      <c r="H154" s="24" t="s">
        <v>11</v>
      </c>
      <c r="I154" s="24">
        <v>0.08</v>
      </c>
      <c r="J154" s="25">
        <v>0.03</v>
      </c>
    </row>
    <row r="155" spans="1:10" x14ac:dyDescent="0.3">
      <c r="A155" s="21" t="s">
        <v>193</v>
      </c>
      <c r="B155" s="22">
        <f t="shared" si="6"/>
        <v>0</v>
      </c>
      <c r="C155" s="22" t="str">
        <f t="shared" si="7"/>
        <v>Atlántico</v>
      </c>
      <c r="D155" s="22" t="str">
        <f t="shared" si="8"/>
        <v>Candelaria, Atlántico</v>
      </c>
      <c r="E155" s="23">
        <v>8141</v>
      </c>
      <c r="F155" s="24">
        <v>0.1</v>
      </c>
      <c r="G155" s="24">
        <v>0.1</v>
      </c>
      <c r="H155" s="24" t="s">
        <v>11</v>
      </c>
      <c r="I155" s="24">
        <v>0.08</v>
      </c>
      <c r="J155" s="25">
        <v>0.03</v>
      </c>
    </row>
    <row r="156" spans="1:10" x14ac:dyDescent="0.3">
      <c r="A156" s="21" t="s">
        <v>194</v>
      </c>
      <c r="B156" s="22">
        <f t="shared" si="6"/>
        <v>0</v>
      </c>
      <c r="C156" s="22" t="str">
        <f t="shared" si="7"/>
        <v>Atlántico</v>
      </c>
      <c r="D156" s="22" t="str">
        <f t="shared" si="8"/>
        <v>Galapa, Atlántico</v>
      </c>
      <c r="E156" s="23">
        <v>8296</v>
      </c>
      <c r="F156" s="24">
        <v>0.1</v>
      </c>
      <c r="G156" s="24">
        <v>0.1</v>
      </c>
      <c r="H156" s="24" t="s">
        <v>11</v>
      </c>
      <c r="I156" s="24">
        <v>0.05</v>
      </c>
      <c r="J156" s="25">
        <v>0.03</v>
      </c>
    </row>
    <row r="157" spans="1:10" x14ac:dyDescent="0.3">
      <c r="A157" s="21" t="s">
        <v>195</v>
      </c>
      <c r="B157" s="22">
        <f t="shared" si="6"/>
        <v>0</v>
      </c>
      <c r="C157" s="22" t="str">
        <f t="shared" si="7"/>
        <v>Atlántico</v>
      </c>
      <c r="D157" s="22" t="str">
        <f t="shared" si="8"/>
        <v>Juan De Acosta, Atlántico</v>
      </c>
      <c r="E157" s="23">
        <v>8372</v>
      </c>
      <c r="F157" s="24">
        <v>0.1</v>
      </c>
      <c r="G157" s="24">
        <v>0.1</v>
      </c>
      <c r="H157" s="24" t="s">
        <v>11</v>
      </c>
      <c r="I157" s="24">
        <v>0.04</v>
      </c>
      <c r="J157" s="25">
        <v>0.03</v>
      </c>
    </row>
    <row r="158" spans="1:10" x14ac:dyDescent="0.3">
      <c r="A158" s="21" t="s">
        <v>196</v>
      </c>
      <c r="B158" s="22">
        <f t="shared" si="6"/>
        <v>0</v>
      </c>
      <c r="C158" s="22" t="str">
        <f t="shared" si="7"/>
        <v>Atlántico</v>
      </c>
      <c r="D158" s="22" t="str">
        <f t="shared" si="8"/>
        <v>Luruaco, Atlántico</v>
      </c>
      <c r="E158" s="23">
        <v>8421</v>
      </c>
      <c r="F158" s="24">
        <v>0.1</v>
      </c>
      <c r="G158" s="24">
        <v>0.1</v>
      </c>
      <c r="H158" s="24" t="s">
        <v>11</v>
      </c>
      <c r="I158" s="24">
        <v>0.04</v>
      </c>
      <c r="J158" s="25">
        <v>0.02</v>
      </c>
    </row>
    <row r="159" spans="1:10" x14ac:dyDescent="0.3">
      <c r="A159" s="21" t="s">
        <v>197</v>
      </c>
      <c r="B159" s="22">
        <f t="shared" si="6"/>
        <v>0</v>
      </c>
      <c r="C159" s="22" t="str">
        <f t="shared" si="7"/>
        <v>Atlántico</v>
      </c>
      <c r="D159" s="22" t="str">
        <f t="shared" si="8"/>
        <v>Malambo, Atlántico</v>
      </c>
      <c r="E159" s="23">
        <v>8433</v>
      </c>
      <c r="F159" s="24">
        <v>0.1</v>
      </c>
      <c r="G159" s="24">
        <v>0.1</v>
      </c>
      <c r="H159" s="24" t="s">
        <v>11</v>
      </c>
      <c r="I159" s="24">
        <v>0.06</v>
      </c>
      <c r="J159" s="25">
        <v>0.03</v>
      </c>
    </row>
    <row r="160" spans="1:10" x14ac:dyDescent="0.3">
      <c r="A160" s="21" t="s">
        <v>198</v>
      </c>
      <c r="B160" s="22">
        <f t="shared" si="6"/>
        <v>0</v>
      </c>
      <c r="C160" s="22" t="str">
        <f t="shared" si="7"/>
        <v>Atlántico</v>
      </c>
      <c r="D160" s="22" t="str">
        <f t="shared" si="8"/>
        <v>Manatí, Atlántico</v>
      </c>
      <c r="E160" s="23">
        <v>8436</v>
      </c>
      <c r="F160" s="24">
        <v>0.1</v>
      </c>
      <c r="G160" s="24">
        <v>0.1</v>
      </c>
      <c r="H160" s="24" t="s">
        <v>11</v>
      </c>
      <c r="I160" s="24">
        <v>0.06</v>
      </c>
      <c r="J160" s="25">
        <v>0.03</v>
      </c>
    </row>
    <row r="161" spans="1:10" x14ac:dyDescent="0.3">
      <c r="A161" s="21" t="s">
        <v>199</v>
      </c>
      <c r="B161" s="22">
        <f t="shared" si="6"/>
        <v>0</v>
      </c>
      <c r="C161" s="22" t="str">
        <f t="shared" si="7"/>
        <v>Atlántico</v>
      </c>
      <c r="D161" s="22" t="str">
        <f t="shared" si="8"/>
        <v>Palmar De Varela, Atlántico</v>
      </c>
      <c r="E161" s="23">
        <v>8520</v>
      </c>
      <c r="F161" s="24">
        <v>0.1</v>
      </c>
      <c r="G161" s="24">
        <v>0.1</v>
      </c>
      <c r="H161" s="24" t="s">
        <v>11</v>
      </c>
      <c r="I161" s="24">
        <v>0.08</v>
      </c>
      <c r="J161" s="25">
        <v>0.03</v>
      </c>
    </row>
    <row r="162" spans="1:10" x14ac:dyDescent="0.3">
      <c r="A162" s="21" t="s">
        <v>200</v>
      </c>
      <c r="B162" s="22">
        <f t="shared" si="6"/>
        <v>0</v>
      </c>
      <c r="C162" s="22" t="str">
        <f t="shared" si="7"/>
        <v>Atlántico</v>
      </c>
      <c r="D162" s="22" t="str">
        <f t="shared" si="8"/>
        <v>Piojo, Atlántico</v>
      </c>
      <c r="E162" s="23">
        <v>8549</v>
      </c>
      <c r="F162" s="24">
        <v>0.1</v>
      </c>
      <c r="G162" s="24">
        <v>0.1</v>
      </c>
      <c r="H162" s="24" t="s">
        <v>11</v>
      </c>
      <c r="I162" s="24">
        <v>0.04</v>
      </c>
      <c r="J162" s="25">
        <v>0.02</v>
      </c>
    </row>
    <row r="163" spans="1:10" x14ac:dyDescent="0.3">
      <c r="A163" s="21" t="s">
        <v>201</v>
      </c>
      <c r="B163" s="22">
        <f t="shared" si="6"/>
        <v>0</v>
      </c>
      <c r="C163" s="22" t="str">
        <f t="shared" si="7"/>
        <v>Atlántico</v>
      </c>
      <c r="D163" s="22" t="str">
        <f t="shared" si="8"/>
        <v>PoloNuevo, Atlántico</v>
      </c>
      <c r="E163" s="23">
        <v>8558</v>
      </c>
      <c r="F163" s="24">
        <v>0.1</v>
      </c>
      <c r="G163" s="24">
        <v>0.1</v>
      </c>
      <c r="H163" s="24" t="s">
        <v>11</v>
      </c>
      <c r="I163" s="24">
        <v>0.06</v>
      </c>
      <c r="J163" s="25">
        <v>0.03</v>
      </c>
    </row>
    <row r="164" spans="1:10" x14ac:dyDescent="0.3">
      <c r="A164" s="21" t="s">
        <v>202</v>
      </c>
      <c r="B164" s="22">
        <f t="shared" si="6"/>
        <v>0</v>
      </c>
      <c r="C164" s="22" t="str">
        <f t="shared" si="7"/>
        <v>Atlántico</v>
      </c>
      <c r="D164" s="22" t="str">
        <f t="shared" si="8"/>
        <v>Ponedera, Atlántico</v>
      </c>
      <c r="E164" s="23">
        <v>8560</v>
      </c>
      <c r="F164" s="24">
        <v>0.1</v>
      </c>
      <c r="G164" s="24">
        <v>0.1</v>
      </c>
      <c r="H164" s="24" t="s">
        <v>11</v>
      </c>
      <c r="I164" s="24">
        <v>0.08</v>
      </c>
      <c r="J164" s="25">
        <v>0.03</v>
      </c>
    </row>
    <row r="165" spans="1:10" x14ac:dyDescent="0.3">
      <c r="A165" s="21" t="s">
        <v>203</v>
      </c>
      <c r="B165" s="22">
        <f t="shared" si="6"/>
        <v>0</v>
      </c>
      <c r="C165" s="22" t="str">
        <f t="shared" si="7"/>
        <v>Atlántico</v>
      </c>
      <c r="D165" s="22" t="str">
        <f t="shared" si="8"/>
        <v>Puerto Colombia, Atlántico</v>
      </c>
      <c r="E165" s="23">
        <v>8573</v>
      </c>
      <c r="F165" s="24">
        <v>0.1</v>
      </c>
      <c r="G165" s="24">
        <v>0.1</v>
      </c>
      <c r="H165" s="24" t="s">
        <v>11</v>
      </c>
      <c r="I165" s="24">
        <v>0.04</v>
      </c>
      <c r="J165" s="25">
        <v>0.03</v>
      </c>
    </row>
    <row r="166" spans="1:10" x14ac:dyDescent="0.3">
      <c r="A166" s="21" t="s">
        <v>204</v>
      </c>
      <c r="B166" s="22">
        <f t="shared" si="6"/>
        <v>0</v>
      </c>
      <c r="C166" s="22" t="str">
        <f t="shared" si="7"/>
        <v>Atlántico</v>
      </c>
      <c r="D166" s="22" t="str">
        <f t="shared" si="8"/>
        <v>Repelón, Atlántico</v>
      </c>
      <c r="E166" s="23">
        <v>8606</v>
      </c>
      <c r="F166" s="24">
        <v>0.1</v>
      </c>
      <c r="G166" s="24">
        <v>0.1</v>
      </c>
      <c r="H166" s="24" t="s">
        <v>11</v>
      </c>
      <c r="I166" s="24">
        <v>0.04</v>
      </c>
      <c r="J166" s="25">
        <v>0.02</v>
      </c>
    </row>
    <row r="167" spans="1:10" x14ac:dyDescent="0.3">
      <c r="A167" s="21" t="s">
        <v>205</v>
      </c>
      <c r="B167" s="22">
        <f t="shared" si="6"/>
        <v>0</v>
      </c>
      <c r="C167" s="22" t="str">
        <f t="shared" si="7"/>
        <v>Atlántico</v>
      </c>
      <c r="D167" s="22" t="str">
        <f t="shared" si="8"/>
        <v>Sabanagrande, Atlántico</v>
      </c>
      <c r="E167" s="23">
        <v>8634</v>
      </c>
      <c r="F167" s="24">
        <v>0.1</v>
      </c>
      <c r="G167" s="24">
        <v>0.1</v>
      </c>
      <c r="H167" s="24" t="s">
        <v>11</v>
      </c>
      <c r="I167" s="24">
        <v>7.0000000000000007E-2</v>
      </c>
      <c r="J167" s="25">
        <v>0.03</v>
      </c>
    </row>
    <row r="168" spans="1:10" x14ac:dyDescent="0.3">
      <c r="A168" s="21" t="s">
        <v>139</v>
      </c>
      <c r="B168" s="22">
        <f t="shared" si="6"/>
        <v>0</v>
      </c>
      <c r="C168" s="22" t="str">
        <f t="shared" si="7"/>
        <v>Atlántico</v>
      </c>
      <c r="D168" s="22" t="str">
        <f t="shared" si="8"/>
        <v>Sabanalarga, Atlántico</v>
      </c>
      <c r="E168" s="23">
        <v>8638</v>
      </c>
      <c r="F168" s="24">
        <v>0.1</v>
      </c>
      <c r="G168" s="24">
        <v>0.1</v>
      </c>
      <c r="H168" s="24" t="s">
        <v>11</v>
      </c>
      <c r="I168" s="24">
        <v>0.05</v>
      </c>
      <c r="J168" s="25">
        <v>0.03</v>
      </c>
    </row>
    <row r="169" spans="1:10" x14ac:dyDescent="0.3">
      <c r="A169" s="21" t="s">
        <v>206</v>
      </c>
      <c r="B169" s="22">
        <f t="shared" si="6"/>
        <v>0</v>
      </c>
      <c r="C169" s="22" t="str">
        <f t="shared" si="7"/>
        <v>Atlántico</v>
      </c>
      <c r="D169" s="22" t="str">
        <f t="shared" si="8"/>
        <v>Santa Lucía, Atlántico</v>
      </c>
      <c r="E169" s="23">
        <v>8675</v>
      </c>
      <c r="F169" s="24">
        <v>0.1</v>
      </c>
      <c r="G169" s="24">
        <v>0.1</v>
      </c>
      <c r="H169" s="24" t="s">
        <v>11</v>
      </c>
      <c r="I169" s="24">
        <v>7.0000000000000007E-2</v>
      </c>
      <c r="J169" s="25">
        <v>0.03</v>
      </c>
    </row>
    <row r="170" spans="1:10" x14ac:dyDescent="0.3">
      <c r="A170" s="21" t="s">
        <v>207</v>
      </c>
      <c r="B170" s="22">
        <f t="shared" si="6"/>
        <v>0</v>
      </c>
      <c r="C170" s="22" t="str">
        <f t="shared" si="7"/>
        <v>Atlántico</v>
      </c>
      <c r="D170" s="22" t="str">
        <f t="shared" si="8"/>
        <v>Santo Tomás, Atlántico</v>
      </c>
      <c r="E170" s="23">
        <v>8685</v>
      </c>
      <c r="F170" s="24">
        <v>0.1</v>
      </c>
      <c r="G170" s="24">
        <v>0.1</v>
      </c>
      <c r="H170" s="24" t="s">
        <v>11</v>
      </c>
      <c r="I170" s="24">
        <v>7.0000000000000007E-2</v>
      </c>
      <c r="J170" s="25">
        <v>0.03</v>
      </c>
    </row>
    <row r="171" spans="1:10" x14ac:dyDescent="0.3">
      <c r="A171" s="21" t="s">
        <v>208</v>
      </c>
      <c r="B171" s="22">
        <f t="shared" si="6"/>
        <v>0</v>
      </c>
      <c r="C171" s="22" t="str">
        <f t="shared" si="7"/>
        <v>Atlántico</v>
      </c>
      <c r="D171" s="22" t="str">
        <f t="shared" si="8"/>
        <v>Soledad, Atlántico</v>
      </c>
      <c r="E171" s="23">
        <v>8758</v>
      </c>
      <c r="F171" s="24">
        <v>0.1</v>
      </c>
      <c r="G171" s="24">
        <v>0.1</v>
      </c>
      <c r="H171" s="24" t="s">
        <v>11</v>
      </c>
      <c r="I171" s="24">
        <v>0.06</v>
      </c>
      <c r="J171" s="25">
        <v>0.03</v>
      </c>
    </row>
    <row r="172" spans="1:10" x14ac:dyDescent="0.3">
      <c r="A172" s="21" t="s">
        <v>209</v>
      </c>
      <c r="B172" s="22">
        <f t="shared" si="6"/>
        <v>0</v>
      </c>
      <c r="C172" s="22" t="str">
        <f t="shared" si="7"/>
        <v>Atlántico</v>
      </c>
      <c r="D172" s="22" t="str">
        <f t="shared" si="8"/>
        <v>Suán, Atlántico</v>
      </c>
      <c r="E172" s="23">
        <v>8770</v>
      </c>
      <c r="F172" s="24">
        <v>0.1</v>
      </c>
      <c r="G172" s="24">
        <v>0.1</v>
      </c>
      <c r="H172" s="24" t="s">
        <v>11</v>
      </c>
      <c r="I172" s="24">
        <v>0.08</v>
      </c>
      <c r="J172" s="25">
        <v>0.03</v>
      </c>
    </row>
    <row r="173" spans="1:10" x14ac:dyDescent="0.3">
      <c r="A173" s="21" t="s">
        <v>210</v>
      </c>
      <c r="B173" s="22">
        <f t="shared" si="6"/>
        <v>0</v>
      </c>
      <c r="C173" s="22" t="str">
        <f t="shared" si="7"/>
        <v>Atlántico</v>
      </c>
      <c r="D173" s="22" t="str">
        <f t="shared" si="8"/>
        <v>Tubará, Atlántico</v>
      </c>
      <c r="E173" s="23">
        <v>8832</v>
      </c>
      <c r="F173" s="24">
        <v>0.1</v>
      </c>
      <c r="G173" s="24">
        <v>0.1</v>
      </c>
      <c r="H173" s="24" t="s">
        <v>11</v>
      </c>
      <c r="I173" s="24">
        <v>0.04</v>
      </c>
      <c r="J173" s="25">
        <v>0.03</v>
      </c>
    </row>
    <row r="174" spans="1:10" ht="17.25" thickBot="1" x14ac:dyDescent="0.35">
      <c r="A174" s="38" t="s">
        <v>211</v>
      </c>
      <c r="B174" s="39">
        <f t="shared" si="6"/>
        <v>0</v>
      </c>
      <c r="C174" s="39" t="str">
        <f t="shared" si="7"/>
        <v>Atlántico</v>
      </c>
      <c r="D174" s="39" t="str">
        <f t="shared" si="8"/>
        <v>Usiacurí, Atlántico</v>
      </c>
      <c r="E174" s="40">
        <v>8849</v>
      </c>
      <c r="F174" s="41">
        <v>0.1</v>
      </c>
      <c r="G174" s="41">
        <v>0.1</v>
      </c>
      <c r="H174" s="41" t="s">
        <v>11</v>
      </c>
      <c r="I174" s="41">
        <v>0.04</v>
      </c>
      <c r="J174" s="42">
        <v>0.03</v>
      </c>
    </row>
    <row r="175" spans="1:10" ht="17.25" thickBot="1" x14ac:dyDescent="0.35">
      <c r="A175" s="43" t="s">
        <v>212</v>
      </c>
      <c r="B175" s="44">
        <f t="shared" si="6"/>
        <v>1</v>
      </c>
      <c r="C175" s="44" t="str">
        <f t="shared" si="7"/>
        <v>Bolívar</v>
      </c>
      <c r="D175" s="44" t="str">
        <f t="shared" si="8"/>
        <v/>
      </c>
      <c r="E175" s="45"/>
      <c r="F175" s="46"/>
      <c r="G175" s="46"/>
      <c r="H175" s="46"/>
      <c r="I175" s="46"/>
      <c r="J175" s="47"/>
    </row>
    <row r="176" spans="1:10" x14ac:dyDescent="0.3">
      <c r="A176" s="48" t="s">
        <v>213</v>
      </c>
      <c r="B176" s="49">
        <f t="shared" si="6"/>
        <v>0</v>
      </c>
      <c r="C176" s="49" t="str">
        <f t="shared" si="7"/>
        <v>Bolívar</v>
      </c>
      <c r="D176" s="49" t="str">
        <f t="shared" si="8"/>
        <v>Cartagena, Bolívar</v>
      </c>
      <c r="E176" s="50">
        <v>13001</v>
      </c>
      <c r="F176" s="51">
        <v>0.1</v>
      </c>
      <c r="G176" s="51">
        <v>0.1</v>
      </c>
      <c r="H176" s="51" t="s">
        <v>11</v>
      </c>
      <c r="I176" s="51">
        <v>0.05</v>
      </c>
      <c r="J176" s="52">
        <v>0.03</v>
      </c>
    </row>
    <row r="177" spans="1:10" x14ac:dyDescent="0.3">
      <c r="A177" s="21" t="s">
        <v>214</v>
      </c>
      <c r="B177" s="22">
        <f t="shared" si="6"/>
        <v>0</v>
      </c>
      <c r="C177" s="22" t="str">
        <f t="shared" si="7"/>
        <v>Bolívar</v>
      </c>
      <c r="D177" s="22" t="str">
        <f t="shared" si="8"/>
        <v>Achí, Bolívar</v>
      </c>
      <c r="E177" s="23">
        <v>13006</v>
      </c>
      <c r="F177" s="24">
        <v>0.15</v>
      </c>
      <c r="G177" s="24">
        <v>0.15</v>
      </c>
      <c r="H177" s="24" t="s">
        <v>36</v>
      </c>
      <c r="I177" s="24">
        <v>7.0000000000000007E-2</v>
      </c>
      <c r="J177" s="25">
        <v>0.04</v>
      </c>
    </row>
    <row r="178" spans="1:10" x14ac:dyDescent="0.3">
      <c r="A178" s="21" t="s">
        <v>215</v>
      </c>
      <c r="B178" s="22">
        <f t="shared" si="6"/>
        <v>0</v>
      </c>
      <c r="C178" s="22" t="str">
        <f t="shared" si="7"/>
        <v>Bolívar</v>
      </c>
      <c r="D178" s="22" t="str">
        <f t="shared" si="8"/>
        <v>Altos del Rosario, Bolívar</v>
      </c>
      <c r="E178" s="23">
        <v>13030</v>
      </c>
      <c r="F178" s="24">
        <v>0.15</v>
      </c>
      <c r="G178" s="24">
        <v>0.15</v>
      </c>
      <c r="H178" s="24" t="s">
        <v>36</v>
      </c>
      <c r="I178" s="24">
        <v>0.06</v>
      </c>
      <c r="J178" s="25">
        <v>0.03</v>
      </c>
    </row>
    <row r="179" spans="1:10" x14ac:dyDescent="0.3">
      <c r="A179" s="21" t="s">
        <v>216</v>
      </c>
      <c r="B179" s="22">
        <f t="shared" si="6"/>
        <v>0</v>
      </c>
      <c r="C179" s="22" t="str">
        <f t="shared" si="7"/>
        <v>Bolívar</v>
      </c>
      <c r="D179" s="22" t="str">
        <f t="shared" si="8"/>
        <v>Arenal, Bolívar</v>
      </c>
      <c r="E179" s="23">
        <v>13042</v>
      </c>
      <c r="F179" s="24">
        <v>0.15</v>
      </c>
      <c r="G179" s="24">
        <v>0.15</v>
      </c>
      <c r="H179" s="24" t="s">
        <v>36</v>
      </c>
      <c r="I179" s="24">
        <v>0.05</v>
      </c>
      <c r="J179" s="25">
        <v>0.04</v>
      </c>
    </row>
    <row r="180" spans="1:10" x14ac:dyDescent="0.3">
      <c r="A180" s="21" t="s">
        <v>217</v>
      </c>
      <c r="B180" s="22">
        <f t="shared" si="6"/>
        <v>0</v>
      </c>
      <c r="C180" s="22" t="str">
        <f t="shared" si="7"/>
        <v>Bolívar</v>
      </c>
      <c r="D180" s="22" t="str">
        <f t="shared" si="8"/>
        <v>Arjona, Bolívar</v>
      </c>
      <c r="E180" s="23">
        <v>13052</v>
      </c>
      <c r="F180" s="24">
        <v>0.1</v>
      </c>
      <c r="G180" s="24">
        <v>0.1</v>
      </c>
      <c r="H180" s="24" t="s">
        <v>11</v>
      </c>
      <c r="I180" s="24">
        <v>0.05</v>
      </c>
      <c r="J180" s="25">
        <v>0.03</v>
      </c>
    </row>
    <row r="181" spans="1:10" x14ac:dyDescent="0.3">
      <c r="A181" s="21" t="s">
        <v>218</v>
      </c>
      <c r="B181" s="22">
        <f t="shared" si="6"/>
        <v>0</v>
      </c>
      <c r="C181" s="22" t="str">
        <f t="shared" si="7"/>
        <v>Bolívar</v>
      </c>
      <c r="D181" s="22" t="str">
        <f t="shared" si="8"/>
        <v>Arroyohondo, Bolívar</v>
      </c>
      <c r="E181" s="23">
        <v>13062</v>
      </c>
      <c r="F181" s="24">
        <v>0.1</v>
      </c>
      <c r="G181" s="24">
        <v>0.1</v>
      </c>
      <c r="H181" s="24" t="s">
        <v>11</v>
      </c>
      <c r="I181" s="24">
        <v>7.0000000000000007E-2</v>
      </c>
      <c r="J181" s="25">
        <v>0.04</v>
      </c>
    </row>
    <row r="182" spans="1:10" x14ac:dyDescent="0.3">
      <c r="A182" s="21" t="s">
        <v>219</v>
      </c>
      <c r="B182" s="22">
        <f t="shared" si="6"/>
        <v>0</v>
      </c>
      <c r="C182" s="22" t="str">
        <f t="shared" si="7"/>
        <v>Bolívar</v>
      </c>
      <c r="D182" s="22" t="str">
        <f t="shared" si="8"/>
        <v>Barranco De Loba, Bolívar</v>
      </c>
      <c r="E182" s="23">
        <v>13074</v>
      </c>
      <c r="F182" s="24">
        <v>0.15</v>
      </c>
      <c r="G182" s="24">
        <v>0.15</v>
      </c>
      <c r="H182" s="24" t="s">
        <v>36</v>
      </c>
      <c r="I182" s="24">
        <v>0.05</v>
      </c>
      <c r="J182" s="25">
        <v>0.03</v>
      </c>
    </row>
    <row r="183" spans="1:10" x14ac:dyDescent="0.3">
      <c r="A183" s="21" t="s">
        <v>220</v>
      </c>
      <c r="B183" s="22">
        <f t="shared" si="6"/>
        <v>0</v>
      </c>
      <c r="C183" s="22" t="str">
        <f t="shared" si="7"/>
        <v>Bolívar</v>
      </c>
      <c r="D183" s="22" t="str">
        <f t="shared" si="8"/>
        <v>Calamar, Bolívar</v>
      </c>
      <c r="E183" s="23">
        <v>13140</v>
      </c>
      <c r="F183" s="24">
        <v>0.1</v>
      </c>
      <c r="G183" s="24">
        <v>0.1</v>
      </c>
      <c r="H183" s="24" t="s">
        <v>11</v>
      </c>
      <c r="I183" s="24">
        <v>0.08</v>
      </c>
      <c r="J183" s="25">
        <v>0.04</v>
      </c>
    </row>
    <row r="184" spans="1:10" x14ac:dyDescent="0.3">
      <c r="A184" s="21" t="s">
        <v>221</v>
      </c>
      <c r="B184" s="22">
        <f t="shared" si="6"/>
        <v>0</v>
      </c>
      <c r="C184" s="22" t="str">
        <f t="shared" si="7"/>
        <v>Bolívar</v>
      </c>
      <c r="D184" s="22" t="str">
        <f t="shared" si="8"/>
        <v>Cantagallo, Bolívar</v>
      </c>
      <c r="E184" s="23">
        <v>13160</v>
      </c>
      <c r="F184" s="24">
        <v>0.15</v>
      </c>
      <c r="G184" s="24">
        <v>0.15</v>
      </c>
      <c r="H184" s="24" t="s">
        <v>36</v>
      </c>
      <c r="I184" s="24">
        <v>0.08</v>
      </c>
      <c r="J184" s="25">
        <v>0.04</v>
      </c>
    </row>
    <row r="185" spans="1:10" x14ac:dyDescent="0.3">
      <c r="A185" s="21" t="s">
        <v>222</v>
      </c>
      <c r="B185" s="22">
        <f t="shared" si="6"/>
        <v>0</v>
      </c>
      <c r="C185" s="22" t="str">
        <f t="shared" si="7"/>
        <v>Bolívar</v>
      </c>
      <c r="D185" s="22" t="str">
        <f t="shared" si="8"/>
        <v>Cicuco, Bolívar</v>
      </c>
      <c r="E185" s="23">
        <v>13188</v>
      </c>
      <c r="F185" s="24">
        <v>0.1</v>
      </c>
      <c r="G185" s="24">
        <v>0.15</v>
      </c>
      <c r="H185" s="24" t="s">
        <v>36</v>
      </c>
      <c r="I185" s="24">
        <v>0.04</v>
      </c>
      <c r="J185" s="25">
        <v>0.03</v>
      </c>
    </row>
    <row r="186" spans="1:10" x14ac:dyDescent="0.3">
      <c r="A186" s="21" t="s">
        <v>223</v>
      </c>
      <c r="B186" s="22">
        <f t="shared" si="6"/>
        <v>0</v>
      </c>
      <c r="C186" s="22" t="str">
        <f t="shared" si="7"/>
        <v>Bolívar</v>
      </c>
      <c r="D186" s="22" t="str">
        <f t="shared" si="8"/>
        <v>Clemencia, Bolívar</v>
      </c>
      <c r="E186" s="23">
        <v>13222</v>
      </c>
      <c r="F186" s="24">
        <v>0.1</v>
      </c>
      <c r="G186" s="24">
        <v>0.1</v>
      </c>
      <c r="H186" s="24" t="s">
        <v>11</v>
      </c>
      <c r="I186" s="24">
        <v>0.05</v>
      </c>
      <c r="J186" s="25">
        <v>0.03</v>
      </c>
    </row>
    <row r="187" spans="1:10" x14ac:dyDescent="0.3">
      <c r="A187" s="21" t="s">
        <v>28</v>
      </c>
      <c r="B187" s="22">
        <f t="shared" si="6"/>
        <v>0</v>
      </c>
      <c r="C187" s="22" t="str">
        <f t="shared" si="7"/>
        <v>Bolívar</v>
      </c>
      <c r="D187" s="22" t="str">
        <f t="shared" si="8"/>
        <v>Córdoba, Bolívar</v>
      </c>
      <c r="E187" s="23">
        <v>13212</v>
      </c>
      <c r="F187" s="24">
        <v>0.1</v>
      </c>
      <c r="G187" s="24">
        <v>0.1</v>
      </c>
      <c r="H187" s="24" t="s">
        <v>11</v>
      </c>
      <c r="I187" s="24">
        <v>0.05</v>
      </c>
      <c r="J187" s="25">
        <v>0.03</v>
      </c>
    </row>
    <row r="188" spans="1:10" x14ac:dyDescent="0.3">
      <c r="A188" s="21" t="s">
        <v>224</v>
      </c>
      <c r="B188" s="22">
        <f t="shared" si="6"/>
        <v>0</v>
      </c>
      <c r="C188" s="22" t="str">
        <f t="shared" si="7"/>
        <v>Bolívar</v>
      </c>
      <c r="D188" s="22" t="str">
        <f t="shared" si="8"/>
        <v>El Carmen De Bolívar, Bolívar</v>
      </c>
      <c r="E188" s="23">
        <v>13244</v>
      </c>
      <c r="F188" s="24">
        <v>0.1</v>
      </c>
      <c r="G188" s="24">
        <v>0.15</v>
      </c>
      <c r="H188" s="24" t="s">
        <v>36</v>
      </c>
      <c r="I188" s="24">
        <v>0.08</v>
      </c>
      <c r="J188" s="25">
        <v>0.04</v>
      </c>
    </row>
    <row r="189" spans="1:10" x14ac:dyDescent="0.3">
      <c r="A189" s="21" t="s">
        <v>225</v>
      </c>
      <c r="B189" s="22">
        <f t="shared" si="6"/>
        <v>0</v>
      </c>
      <c r="C189" s="22" t="str">
        <f t="shared" si="7"/>
        <v>Bolívar</v>
      </c>
      <c r="D189" s="22" t="str">
        <f t="shared" si="8"/>
        <v>El Guamo, Bolívar</v>
      </c>
      <c r="E189" s="23">
        <v>13248</v>
      </c>
      <c r="F189" s="24">
        <v>0.1</v>
      </c>
      <c r="G189" s="24">
        <v>0.1</v>
      </c>
      <c r="H189" s="24" t="s">
        <v>11</v>
      </c>
      <c r="I189" s="24">
        <v>0.08</v>
      </c>
      <c r="J189" s="25">
        <v>0.04</v>
      </c>
    </row>
    <row r="190" spans="1:10" x14ac:dyDescent="0.3">
      <c r="A190" s="21" t="s">
        <v>226</v>
      </c>
      <c r="B190" s="22">
        <f t="shared" si="6"/>
        <v>0</v>
      </c>
      <c r="C190" s="22" t="str">
        <f t="shared" si="7"/>
        <v>Bolívar</v>
      </c>
      <c r="D190" s="22" t="str">
        <f t="shared" si="8"/>
        <v>El Peñón, Bolívar</v>
      </c>
      <c r="E190" s="23">
        <v>13268</v>
      </c>
      <c r="F190" s="24">
        <v>0.15</v>
      </c>
      <c r="G190" s="24">
        <v>0.15</v>
      </c>
      <c r="H190" s="24" t="s">
        <v>36</v>
      </c>
      <c r="I190" s="24">
        <v>7.0000000000000007E-2</v>
      </c>
      <c r="J190" s="25">
        <v>0.04</v>
      </c>
    </row>
    <row r="191" spans="1:10" x14ac:dyDescent="0.3">
      <c r="A191" s="21" t="s">
        <v>227</v>
      </c>
      <c r="B191" s="22">
        <f t="shared" si="6"/>
        <v>0</v>
      </c>
      <c r="C191" s="22" t="str">
        <f t="shared" si="7"/>
        <v>Bolívar</v>
      </c>
      <c r="D191" s="22" t="str">
        <f t="shared" si="8"/>
        <v>Hatillo De Loba, Bolívar</v>
      </c>
      <c r="E191" s="23">
        <v>13300</v>
      </c>
      <c r="F191" s="24">
        <v>0.15</v>
      </c>
      <c r="G191" s="24">
        <v>0.1</v>
      </c>
      <c r="H191" s="24" t="s">
        <v>36</v>
      </c>
      <c r="I191" s="24">
        <v>0.05</v>
      </c>
      <c r="J191" s="25">
        <v>0.03</v>
      </c>
    </row>
    <row r="192" spans="1:10" x14ac:dyDescent="0.3">
      <c r="A192" s="21" t="s">
        <v>228</v>
      </c>
      <c r="B192" s="22">
        <f t="shared" si="6"/>
        <v>0</v>
      </c>
      <c r="C192" s="22" t="str">
        <f t="shared" si="7"/>
        <v>Bolívar</v>
      </c>
      <c r="D192" s="22" t="str">
        <f t="shared" si="8"/>
        <v>Magangue, Bolívar</v>
      </c>
      <c r="E192" s="23">
        <v>13430</v>
      </c>
      <c r="F192" s="24">
        <v>0.1</v>
      </c>
      <c r="G192" s="24">
        <v>0.15</v>
      </c>
      <c r="H192" s="24" t="s">
        <v>36</v>
      </c>
      <c r="I192" s="24">
        <v>0.04</v>
      </c>
      <c r="J192" s="25">
        <v>0.03</v>
      </c>
    </row>
    <row r="193" spans="1:10" x14ac:dyDescent="0.3">
      <c r="A193" s="21" t="s">
        <v>229</v>
      </c>
      <c r="B193" s="22">
        <f t="shared" si="6"/>
        <v>0</v>
      </c>
      <c r="C193" s="22" t="str">
        <f t="shared" si="7"/>
        <v>Bolívar</v>
      </c>
      <c r="D193" s="22" t="str">
        <f t="shared" si="8"/>
        <v>Mahates, Bolívar</v>
      </c>
      <c r="E193" s="23">
        <v>13433</v>
      </c>
      <c r="F193" s="24">
        <v>0.1</v>
      </c>
      <c r="G193" s="24">
        <v>0.1</v>
      </c>
      <c r="H193" s="24" t="s">
        <v>11</v>
      </c>
      <c r="I193" s="24">
        <v>0.08</v>
      </c>
      <c r="J193" s="25">
        <v>0.03</v>
      </c>
    </row>
    <row r="194" spans="1:10" x14ac:dyDescent="0.3">
      <c r="A194" s="21" t="s">
        <v>230</v>
      </c>
      <c r="B194" s="22">
        <f t="shared" si="6"/>
        <v>0</v>
      </c>
      <c r="C194" s="22" t="str">
        <f t="shared" si="7"/>
        <v>Bolívar</v>
      </c>
      <c r="D194" s="22" t="str">
        <f t="shared" si="8"/>
        <v>Margarita, Bolívar</v>
      </c>
      <c r="E194" s="23">
        <v>13440</v>
      </c>
      <c r="F194" s="24">
        <v>0.1</v>
      </c>
      <c r="G194" s="24">
        <v>0.1</v>
      </c>
      <c r="H194" s="24" t="s">
        <v>11</v>
      </c>
      <c r="I194" s="24">
        <v>0.05</v>
      </c>
      <c r="J194" s="25">
        <v>0.03</v>
      </c>
    </row>
    <row r="195" spans="1:10" x14ac:dyDescent="0.3">
      <c r="A195" s="21" t="s">
        <v>231</v>
      </c>
      <c r="B195" s="22">
        <f t="shared" ref="B195:B258" si="9">IFERROR(FIND("Departamento",A195),0)</f>
        <v>0</v>
      </c>
      <c r="C195" s="22" t="str">
        <f t="shared" ref="C195:C258" si="10">IF(B195=1,IF(ISERROR(FIND("del",A195)),MID(A195,17,30),MID(A195,18,30)),C194)</f>
        <v>Bolívar</v>
      </c>
      <c r="D195" s="22" t="str">
        <f t="shared" ref="D195:D258" si="11">IF(B195=1,"",CONCATENATE(A195,", ",C195))</f>
        <v>María La Baja, Bolívar</v>
      </c>
      <c r="E195" s="23">
        <v>13442</v>
      </c>
      <c r="F195" s="24">
        <v>0.1</v>
      </c>
      <c r="G195" s="24">
        <v>0.15</v>
      </c>
      <c r="H195" s="24" t="s">
        <v>36</v>
      </c>
      <c r="I195" s="24">
        <v>7.0000000000000007E-2</v>
      </c>
      <c r="J195" s="25">
        <v>0.03</v>
      </c>
    </row>
    <row r="196" spans="1:10" x14ac:dyDescent="0.3">
      <c r="A196" s="21" t="s">
        <v>232</v>
      </c>
      <c r="B196" s="22">
        <f t="shared" si="9"/>
        <v>0</v>
      </c>
      <c r="C196" s="22" t="str">
        <f t="shared" si="10"/>
        <v>Bolívar</v>
      </c>
      <c r="D196" s="22" t="str">
        <f t="shared" si="11"/>
        <v>Mompós, Bolívar</v>
      </c>
      <c r="E196" s="23">
        <v>13468</v>
      </c>
      <c r="F196" s="24">
        <v>0.1</v>
      </c>
      <c r="G196" s="24">
        <v>0.15</v>
      </c>
      <c r="H196" s="24" t="s">
        <v>36</v>
      </c>
      <c r="I196" s="24">
        <v>0.04</v>
      </c>
      <c r="J196" s="25">
        <v>0.03</v>
      </c>
    </row>
    <row r="197" spans="1:10" x14ac:dyDescent="0.3">
      <c r="A197" s="21" t="s">
        <v>233</v>
      </c>
      <c r="B197" s="22">
        <f t="shared" si="9"/>
        <v>0</v>
      </c>
      <c r="C197" s="22" t="str">
        <f t="shared" si="10"/>
        <v>Bolívar</v>
      </c>
      <c r="D197" s="22" t="str">
        <f t="shared" si="11"/>
        <v>Montecristo, Bolívar</v>
      </c>
      <c r="E197" s="23">
        <v>13458</v>
      </c>
      <c r="F197" s="24">
        <v>0.15</v>
      </c>
      <c r="G197" s="24">
        <v>0.15</v>
      </c>
      <c r="H197" s="24" t="s">
        <v>36</v>
      </c>
      <c r="I197" s="24">
        <v>0.08</v>
      </c>
      <c r="J197" s="25">
        <v>0.04</v>
      </c>
    </row>
    <row r="198" spans="1:10" x14ac:dyDescent="0.3">
      <c r="A198" s="21" t="s">
        <v>234</v>
      </c>
      <c r="B198" s="22">
        <f t="shared" si="9"/>
        <v>0</v>
      </c>
      <c r="C198" s="22" t="str">
        <f t="shared" si="10"/>
        <v>Bolívar</v>
      </c>
      <c r="D198" s="22" t="str">
        <f t="shared" si="11"/>
        <v>Morales, Bolívar</v>
      </c>
      <c r="E198" s="23">
        <v>13473</v>
      </c>
      <c r="F198" s="24">
        <v>0.15</v>
      </c>
      <c r="G198" s="24">
        <v>0.15</v>
      </c>
      <c r="H198" s="24" t="s">
        <v>36</v>
      </c>
      <c r="I198" s="24">
        <v>7.0000000000000007E-2</v>
      </c>
      <c r="J198" s="25">
        <v>0.04</v>
      </c>
    </row>
    <row r="199" spans="1:10" x14ac:dyDescent="0.3">
      <c r="A199" s="21" t="s">
        <v>235</v>
      </c>
      <c r="B199" s="22">
        <f t="shared" si="9"/>
        <v>0</v>
      </c>
      <c r="C199" s="22" t="str">
        <f t="shared" si="10"/>
        <v>Bolívar</v>
      </c>
      <c r="D199" s="22" t="str">
        <f t="shared" si="11"/>
        <v>Pinillos, Bolívar</v>
      </c>
      <c r="E199" s="23">
        <v>13549</v>
      </c>
      <c r="F199" s="24">
        <v>0.1</v>
      </c>
      <c r="G199" s="24">
        <v>0.15</v>
      </c>
      <c r="H199" s="24" t="s">
        <v>36</v>
      </c>
      <c r="I199" s="24">
        <v>0.05</v>
      </c>
      <c r="J199" s="25">
        <v>0.03</v>
      </c>
    </row>
    <row r="200" spans="1:10" x14ac:dyDescent="0.3">
      <c r="A200" s="21" t="s">
        <v>236</v>
      </c>
      <c r="B200" s="22">
        <f t="shared" si="9"/>
        <v>0</v>
      </c>
      <c r="C200" s="22" t="str">
        <f t="shared" si="10"/>
        <v>Bolívar</v>
      </c>
      <c r="D200" s="22" t="str">
        <f t="shared" si="11"/>
        <v>Regidor, Bolívar</v>
      </c>
      <c r="E200" s="23">
        <v>13580</v>
      </c>
      <c r="F200" s="24">
        <v>0.15</v>
      </c>
      <c r="G200" s="24">
        <v>0.15</v>
      </c>
      <c r="H200" s="24" t="s">
        <v>36</v>
      </c>
      <c r="I200" s="24">
        <v>7.0000000000000007E-2</v>
      </c>
      <c r="J200" s="25">
        <v>0.04</v>
      </c>
    </row>
    <row r="201" spans="1:10" x14ac:dyDescent="0.3">
      <c r="A201" s="21" t="s">
        <v>237</v>
      </c>
      <c r="B201" s="22">
        <f t="shared" si="9"/>
        <v>0</v>
      </c>
      <c r="C201" s="22" t="str">
        <f t="shared" si="10"/>
        <v>Bolívar</v>
      </c>
      <c r="D201" s="22" t="str">
        <f t="shared" si="11"/>
        <v>Río Viejo, Bolívar</v>
      </c>
      <c r="E201" s="23">
        <v>13600</v>
      </c>
      <c r="F201" s="24">
        <v>0.15</v>
      </c>
      <c r="G201" s="24">
        <v>0.15</v>
      </c>
      <c r="H201" s="24" t="s">
        <v>36</v>
      </c>
      <c r="I201" s="24">
        <v>7.0000000000000007E-2</v>
      </c>
      <c r="J201" s="25">
        <v>0.04</v>
      </c>
    </row>
    <row r="202" spans="1:10" x14ac:dyDescent="0.3">
      <c r="A202" s="21" t="s">
        <v>238</v>
      </c>
      <c r="B202" s="22">
        <f t="shared" si="9"/>
        <v>0</v>
      </c>
      <c r="C202" s="22" t="str">
        <f t="shared" si="10"/>
        <v>Bolívar</v>
      </c>
      <c r="D202" s="22" t="str">
        <f t="shared" si="11"/>
        <v>San Cristóbal, Bolívar</v>
      </c>
      <c r="E202" s="23">
        <v>13620</v>
      </c>
      <c r="F202" s="24">
        <v>0.1</v>
      </c>
      <c r="G202" s="24">
        <v>0.1</v>
      </c>
      <c r="H202" s="24" t="s">
        <v>11</v>
      </c>
      <c r="I202" s="24">
        <v>0.08</v>
      </c>
      <c r="J202" s="25">
        <v>0.04</v>
      </c>
    </row>
    <row r="203" spans="1:10" x14ac:dyDescent="0.3">
      <c r="A203" s="21" t="s">
        <v>239</v>
      </c>
      <c r="B203" s="22">
        <f t="shared" si="9"/>
        <v>0</v>
      </c>
      <c r="C203" s="22" t="str">
        <f t="shared" si="10"/>
        <v>Bolívar</v>
      </c>
      <c r="D203" s="22" t="str">
        <f t="shared" si="11"/>
        <v>San Estanislao, Bolívar</v>
      </c>
      <c r="E203" s="23">
        <v>13647</v>
      </c>
      <c r="F203" s="24">
        <v>0.1</v>
      </c>
      <c r="G203" s="24">
        <v>0.1</v>
      </c>
      <c r="H203" s="24" t="s">
        <v>11</v>
      </c>
      <c r="I203" s="24">
        <v>0.06</v>
      </c>
      <c r="J203" s="25">
        <v>0.03</v>
      </c>
    </row>
    <row r="204" spans="1:10" x14ac:dyDescent="0.3">
      <c r="A204" s="21" t="s">
        <v>240</v>
      </c>
      <c r="B204" s="22">
        <f t="shared" si="9"/>
        <v>0</v>
      </c>
      <c r="C204" s="22" t="str">
        <f t="shared" si="10"/>
        <v>Bolívar</v>
      </c>
      <c r="D204" s="22" t="str">
        <f t="shared" si="11"/>
        <v>San Fernando, Bolívar</v>
      </c>
      <c r="E204" s="23">
        <v>13650</v>
      </c>
      <c r="F204" s="24">
        <v>0.1</v>
      </c>
      <c r="G204" s="24">
        <v>0.1</v>
      </c>
      <c r="H204" s="24" t="s">
        <v>11</v>
      </c>
      <c r="I204" s="24">
        <v>0.04</v>
      </c>
      <c r="J204" s="25">
        <v>0.03</v>
      </c>
    </row>
    <row r="205" spans="1:10" x14ac:dyDescent="0.3">
      <c r="A205" s="21" t="s">
        <v>241</v>
      </c>
      <c r="B205" s="22">
        <f t="shared" si="9"/>
        <v>0</v>
      </c>
      <c r="C205" s="22" t="str">
        <f t="shared" si="10"/>
        <v>Bolívar</v>
      </c>
      <c r="D205" s="22" t="str">
        <f t="shared" si="11"/>
        <v>San Jacinto, Bolívar</v>
      </c>
      <c r="E205" s="23">
        <v>13654</v>
      </c>
      <c r="F205" s="24">
        <v>0.1</v>
      </c>
      <c r="G205" s="24">
        <v>0.1</v>
      </c>
      <c r="H205" s="24" t="s">
        <v>11</v>
      </c>
      <c r="I205" s="24">
        <v>0.08</v>
      </c>
      <c r="J205" s="25">
        <v>0.04</v>
      </c>
    </row>
    <row r="206" spans="1:10" x14ac:dyDescent="0.3">
      <c r="A206" s="21" t="s">
        <v>242</v>
      </c>
      <c r="B206" s="22">
        <f t="shared" si="9"/>
        <v>0</v>
      </c>
      <c r="C206" s="22" t="str">
        <f t="shared" si="10"/>
        <v>Bolívar</v>
      </c>
      <c r="D206" s="22" t="str">
        <f t="shared" si="11"/>
        <v>San Jacinto del Cauca, Bolívar</v>
      </c>
      <c r="E206" s="23">
        <v>13655</v>
      </c>
      <c r="F206" s="24">
        <v>0.15</v>
      </c>
      <c r="G206" s="24">
        <v>0.15</v>
      </c>
      <c r="H206" s="24" t="s">
        <v>36</v>
      </c>
      <c r="I206" s="24">
        <v>0.08</v>
      </c>
      <c r="J206" s="25">
        <v>0.04</v>
      </c>
    </row>
    <row r="207" spans="1:10" x14ac:dyDescent="0.3">
      <c r="A207" s="21" t="s">
        <v>243</v>
      </c>
      <c r="B207" s="22">
        <f t="shared" si="9"/>
        <v>0</v>
      </c>
      <c r="C207" s="22" t="str">
        <f t="shared" si="10"/>
        <v>Bolívar</v>
      </c>
      <c r="D207" s="22" t="str">
        <f t="shared" si="11"/>
        <v>San Juan Nepomuceno, Bolívar</v>
      </c>
      <c r="E207" s="23">
        <v>13657</v>
      </c>
      <c r="F207" s="24">
        <v>0.1</v>
      </c>
      <c r="G207" s="24">
        <v>0.1</v>
      </c>
      <c r="H207" s="24" t="s">
        <v>11</v>
      </c>
      <c r="I207" s="24">
        <v>0.08</v>
      </c>
      <c r="J207" s="25">
        <v>0.04</v>
      </c>
    </row>
    <row r="208" spans="1:10" x14ac:dyDescent="0.3">
      <c r="A208" s="21" t="s">
        <v>244</v>
      </c>
      <c r="B208" s="22">
        <f t="shared" si="9"/>
        <v>0</v>
      </c>
      <c r="C208" s="22" t="str">
        <f t="shared" si="10"/>
        <v>Bolívar</v>
      </c>
      <c r="D208" s="22" t="str">
        <f t="shared" si="11"/>
        <v>San Martín De Loba, Bolívar</v>
      </c>
      <c r="E208" s="23">
        <v>13667</v>
      </c>
      <c r="F208" s="24">
        <v>0.15</v>
      </c>
      <c r="G208" s="24">
        <v>0.15</v>
      </c>
      <c r="H208" s="24" t="s">
        <v>36</v>
      </c>
      <c r="I208" s="24">
        <v>0.06</v>
      </c>
      <c r="J208" s="25">
        <v>0.04</v>
      </c>
    </row>
    <row r="209" spans="1:10" x14ac:dyDescent="0.3">
      <c r="A209" s="21" t="s">
        <v>245</v>
      </c>
      <c r="B209" s="22">
        <f t="shared" si="9"/>
        <v>0</v>
      </c>
      <c r="C209" s="22" t="str">
        <f t="shared" si="10"/>
        <v>Bolívar</v>
      </c>
      <c r="D209" s="22" t="str">
        <f t="shared" si="11"/>
        <v>San Pablo, Bolívar</v>
      </c>
      <c r="E209" s="23">
        <v>13670</v>
      </c>
      <c r="F209" s="24">
        <v>0.15</v>
      </c>
      <c r="G209" s="24">
        <v>0.15</v>
      </c>
      <c r="H209" s="24" t="s">
        <v>36</v>
      </c>
      <c r="I209" s="24">
        <v>0.36</v>
      </c>
      <c r="J209" s="25">
        <v>0.04</v>
      </c>
    </row>
    <row r="210" spans="1:10" x14ac:dyDescent="0.3">
      <c r="A210" s="21" t="s">
        <v>246</v>
      </c>
      <c r="B210" s="22">
        <f t="shared" si="9"/>
        <v>0</v>
      </c>
      <c r="C210" s="22" t="str">
        <f t="shared" si="10"/>
        <v>Bolívar</v>
      </c>
      <c r="D210" s="22" t="str">
        <f t="shared" si="11"/>
        <v>Santa Catalina, Bolívar</v>
      </c>
      <c r="E210" s="23">
        <v>13673</v>
      </c>
      <c r="F210" s="24">
        <v>0.1</v>
      </c>
      <c r="G210" s="24">
        <v>0.1</v>
      </c>
      <c r="H210" s="24" t="s">
        <v>11</v>
      </c>
      <c r="I210" s="24">
        <v>0.06</v>
      </c>
      <c r="J210" s="25">
        <v>0.03</v>
      </c>
    </row>
    <row r="211" spans="1:10" x14ac:dyDescent="0.3">
      <c r="A211" s="21" t="s">
        <v>247</v>
      </c>
      <c r="B211" s="22">
        <f t="shared" si="9"/>
        <v>0</v>
      </c>
      <c r="C211" s="22" t="str">
        <f t="shared" si="10"/>
        <v>Bolívar</v>
      </c>
      <c r="D211" s="22" t="str">
        <f t="shared" si="11"/>
        <v>Santa Rosa, Bolívar</v>
      </c>
      <c r="E211" s="23">
        <v>13683</v>
      </c>
      <c r="F211" s="24">
        <v>0.1</v>
      </c>
      <c r="G211" s="24">
        <v>0.1</v>
      </c>
      <c r="H211" s="24" t="s">
        <v>11</v>
      </c>
      <c r="I211" s="24">
        <v>0.05</v>
      </c>
      <c r="J211" s="25">
        <v>0.03</v>
      </c>
    </row>
    <row r="212" spans="1:10" x14ac:dyDescent="0.3">
      <c r="A212" s="21" t="s">
        <v>248</v>
      </c>
      <c r="B212" s="22">
        <f t="shared" si="9"/>
        <v>0</v>
      </c>
      <c r="C212" s="22" t="str">
        <f t="shared" si="10"/>
        <v>Bolívar</v>
      </c>
      <c r="D212" s="22" t="str">
        <f t="shared" si="11"/>
        <v>Santa Rosa del Sur, Bolívar</v>
      </c>
      <c r="E212" s="23">
        <v>13688</v>
      </c>
      <c r="F212" s="24">
        <v>0.15</v>
      </c>
      <c r="G212" s="24">
        <v>0.15</v>
      </c>
      <c r="H212" s="24" t="s">
        <v>36</v>
      </c>
      <c r="I212" s="24">
        <v>0.08</v>
      </c>
      <c r="J212" s="25">
        <v>0.04</v>
      </c>
    </row>
    <row r="213" spans="1:10" x14ac:dyDescent="0.3">
      <c r="A213" s="21" t="s">
        <v>249</v>
      </c>
      <c r="B213" s="22">
        <f t="shared" si="9"/>
        <v>0</v>
      </c>
      <c r="C213" s="22" t="str">
        <f t="shared" si="10"/>
        <v>Bolívar</v>
      </c>
      <c r="D213" s="22" t="str">
        <f t="shared" si="11"/>
        <v>Simití, Bolívar</v>
      </c>
      <c r="E213" s="23">
        <v>13744</v>
      </c>
      <c r="F213" s="24">
        <v>0.15</v>
      </c>
      <c r="G213" s="24">
        <v>0.15</v>
      </c>
      <c r="H213" s="24" t="s">
        <v>36</v>
      </c>
      <c r="I213" s="24">
        <v>0.08</v>
      </c>
      <c r="J213" s="25">
        <v>0.04</v>
      </c>
    </row>
    <row r="214" spans="1:10" x14ac:dyDescent="0.3">
      <c r="A214" s="21" t="s">
        <v>250</v>
      </c>
      <c r="B214" s="22">
        <f t="shared" si="9"/>
        <v>0</v>
      </c>
      <c r="C214" s="22" t="str">
        <f t="shared" si="10"/>
        <v>Bolívar</v>
      </c>
      <c r="D214" s="22" t="str">
        <f t="shared" si="11"/>
        <v>Soplaviento, Bolívar</v>
      </c>
      <c r="E214" s="23">
        <v>13760</v>
      </c>
      <c r="F214" s="24">
        <v>0.1</v>
      </c>
      <c r="G214" s="24">
        <v>0.1</v>
      </c>
      <c r="H214" s="24" t="s">
        <v>11</v>
      </c>
      <c r="I214" s="24">
        <v>0.08</v>
      </c>
      <c r="J214" s="25">
        <v>0.04</v>
      </c>
    </row>
    <row r="215" spans="1:10" x14ac:dyDescent="0.3">
      <c r="A215" s="21" t="s">
        <v>251</v>
      </c>
      <c r="B215" s="22">
        <f t="shared" si="9"/>
        <v>0</v>
      </c>
      <c r="C215" s="22" t="str">
        <f t="shared" si="10"/>
        <v>Bolívar</v>
      </c>
      <c r="D215" s="22" t="str">
        <f t="shared" si="11"/>
        <v>Talaigua Nuevo, Bolívar</v>
      </c>
      <c r="E215" s="23">
        <v>13780</v>
      </c>
      <c r="F215" s="24">
        <v>0.1</v>
      </c>
      <c r="G215" s="24">
        <v>0.1</v>
      </c>
      <c r="H215" s="24" t="s">
        <v>11</v>
      </c>
      <c r="I215" s="24">
        <v>0.04</v>
      </c>
      <c r="J215" s="25">
        <v>0.03</v>
      </c>
    </row>
    <row r="216" spans="1:10" x14ac:dyDescent="0.3">
      <c r="A216" s="21" t="s">
        <v>252</v>
      </c>
      <c r="B216" s="22">
        <f t="shared" si="9"/>
        <v>0</v>
      </c>
      <c r="C216" s="22" t="str">
        <f t="shared" si="10"/>
        <v>Bolívar</v>
      </c>
      <c r="D216" s="22" t="str">
        <f t="shared" si="11"/>
        <v>Tiquisio, Bolívar</v>
      </c>
      <c r="E216" s="23">
        <v>13810</v>
      </c>
      <c r="F216" s="24">
        <v>0.15</v>
      </c>
      <c r="G216" s="24">
        <v>0.15</v>
      </c>
      <c r="H216" s="24" t="s">
        <v>36</v>
      </c>
      <c r="I216" s="24">
        <v>0.08</v>
      </c>
      <c r="J216" s="25">
        <v>0.05</v>
      </c>
    </row>
    <row r="217" spans="1:10" x14ac:dyDescent="0.3">
      <c r="A217" s="21" t="s">
        <v>253</v>
      </c>
      <c r="B217" s="22">
        <f t="shared" si="9"/>
        <v>0</v>
      </c>
      <c r="C217" s="22" t="str">
        <f t="shared" si="10"/>
        <v>Bolívar</v>
      </c>
      <c r="D217" s="22" t="str">
        <f t="shared" si="11"/>
        <v>Turbaco, Bolívar</v>
      </c>
      <c r="E217" s="23">
        <v>13836</v>
      </c>
      <c r="F217" s="24">
        <v>0.1</v>
      </c>
      <c r="G217" s="24">
        <v>0.1</v>
      </c>
      <c r="H217" s="24" t="s">
        <v>11</v>
      </c>
      <c r="I217" s="24">
        <v>0.05</v>
      </c>
      <c r="J217" s="25">
        <v>0.03</v>
      </c>
    </row>
    <row r="218" spans="1:10" x14ac:dyDescent="0.3">
      <c r="A218" s="21" t="s">
        <v>254</v>
      </c>
      <c r="B218" s="22">
        <f t="shared" si="9"/>
        <v>0</v>
      </c>
      <c r="C218" s="22" t="str">
        <f t="shared" si="10"/>
        <v>Bolívar</v>
      </c>
      <c r="D218" s="22" t="str">
        <f t="shared" si="11"/>
        <v>Turbaná, Bolívar</v>
      </c>
      <c r="E218" s="23">
        <v>13838</v>
      </c>
      <c r="F218" s="24">
        <v>0.1</v>
      </c>
      <c r="G218" s="24">
        <v>0.1</v>
      </c>
      <c r="H218" s="24" t="s">
        <v>11</v>
      </c>
      <c r="I218" s="24">
        <v>0.05</v>
      </c>
      <c r="J218" s="25">
        <v>0.03</v>
      </c>
    </row>
    <row r="219" spans="1:10" x14ac:dyDescent="0.3">
      <c r="A219" s="21" t="s">
        <v>255</v>
      </c>
      <c r="B219" s="22">
        <f t="shared" si="9"/>
        <v>0</v>
      </c>
      <c r="C219" s="22" t="str">
        <f t="shared" si="10"/>
        <v>Bolívar</v>
      </c>
      <c r="D219" s="22" t="str">
        <f t="shared" si="11"/>
        <v>Villanueva, Bolívar</v>
      </c>
      <c r="E219" s="23">
        <v>13873</v>
      </c>
      <c r="F219" s="24">
        <v>0.1</v>
      </c>
      <c r="G219" s="24">
        <v>0.1</v>
      </c>
      <c r="H219" s="24" t="s">
        <v>11</v>
      </c>
      <c r="I219" s="24">
        <v>0.05</v>
      </c>
      <c r="J219" s="25">
        <v>0.03</v>
      </c>
    </row>
    <row r="220" spans="1:10" ht="17.25" thickBot="1" x14ac:dyDescent="0.35">
      <c r="A220" s="38" t="s">
        <v>256</v>
      </c>
      <c r="B220" s="39">
        <f t="shared" si="9"/>
        <v>0</v>
      </c>
      <c r="C220" s="39" t="str">
        <f t="shared" si="10"/>
        <v>Bolívar</v>
      </c>
      <c r="D220" s="39" t="str">
        <f t="shared" si="11"/>
        <v>Zambrano, Bolívar</v>
      </c>
      <c r="E220" s="40">
        <v>13894</v>
      </c>
      <c r="F220" s="41">
        <v>0.1</v>
      </c>
      <c r="G220" s="41">
        <v>0.1</v>
      </c>
      <c r="H220" s="41" t="s">
        <v>11</v>
      </c>
      <c r="I220" s="41">
        <v>0.06</v>
      </c>
      <c r="J220" s="42">
        <v>0.03</v>
      </c>
    </row>
    <row r="221" spans="1:10" ht="17.25" thickBot="1" x14ac:dyDescent="0.35">
      <c r="A221" s="43" t="s">
        <v>257</v>
      </c>
      <c r="B221" s="44">
        <f t="shared" si="9"/>
        <v>1</v>
      </c>
      <c r="C221" s="44" t="str">
        <f t="shared" si="10"/>
        <v>Boyacá</v>
      </c>
      <c r="D221" s="44" t="str">
        <f t="shared" si="11"/>
        <v/>
      </c>
      <c r="E221" s="45"/>
      <c r="F221" s="46"/>
      <c r="G221" s="46"/>
      <c r="H221" s="46"/>
      <c r="I221" s="46"/>
      <c r="J221" s="47"/>
    </row>
    <row r="222" spans="1:10" x14ac:dyDescent="0.3">
      <c r="A222" s="48" t="s">
        <v>258</v>
      </c>
      <c r="B222" s="49">
        <f t="shared" si="9"/>
        <v>0</v>
      </c>
      <c r="C222" s="49" t="str">
        <f t="shared" si="10"/>
        <v>Boyacá</v>
      </c>
      <c r="D222" s="49" t="str">
        <f t="shared" si="11"/>
        <v>Tunja, Boyacá</v>
      </c>
      <c r="E222" s="50">
        <v>15001</v>
      </c>
      <c r="F222" s="51">
        <v>0.2</v>
      </c>
      <c r="G222" s="51">
        <v>0.2</v>
      </c>
      <c r="H222" s="51" t="s">
        <v>36</v>
      </c>
      <c r="I222" s="51">
        <v>0.15</v>
      </c>
      <c r="J222" s="52">
        <v>7.0000000000000007E-2</v>
      </c>
    </row>
    <row r="223" spans="1:10" x14ac:dyDescent="0.3">
      <c r="A223" s="21" t="s">
        <v>259</v>
      </c>
      <c r="B223" s="22">
        <f t="shared" si="9"/>
        <v>0</v>
      </c>
      <c r="C223" s="22" t="str">
        <f t="shared" si="10"/>
        <v>Boyacá</v>
      </c>
      <c r="D223" s="22" t="str">
        <f t="shared" si="11"/>
        <v>Almeida, Boyacá</v>
      </c>
      <c r="E223" s="23">
        <v>15022</v>
      </c>
      <c r="F223" s="24">
        <v>0.25</v>
      </c>
      <c r="G223" s="24">
        <v>0.25</v>
      </c>
      <c r="H223" s="24" t="s">
        <v>39</v>
      </c>
      <c r="I223" s="24">
        <v>0.16</v>
      </c>
      <c r="J223" s="25">
        <v>0.08</v>
      </c>
    </row>
    <row r="224" spans="1:10" x14ac:dyDescent="0.3">
      <c r="A224" s="21" t="s">
        <v>260</v>
      </c>
      <c r="B224" s="22">
        <f t="shared" si="9"/>
        <v>0</v>
      </c>
      <c r="C224" s="22" t="str">
        <f t="shared" si="10"/>
        <v>Boyacá</v>
      </c>
      <c r="D224" s="22" t="str">
        <f t="shared" si="11"/>
        <v>Aquitania, Boyacá</v>
      </c>
      <c r="E224" s="23">
        <v>15047</v>
      </c>
      <c r="F224" s="24">
        <v>0.25</v>
      </c>
      <c r="G224" s="24">
        <v>0.3</v>
      </c>
      <c r="H224" s="24" t="s">
        <v>39</v>
      </c>
      <c r="I224" s="24">
        <v>0.16</v>
      </c>
      <c r="J224" s="25">
        <v>0.08</v>
      </c>
    </row>
    <row r="225" spans="1:10" x14ac:dyDescent="0.3">
      <c r="A225" s="21" t="s">
        <v>261</v>
      </c>
      <c r="B225" s="22">
        <f t="shared" si="9"/>
        <v>0</v>
      </c>
      <c r="C225" s="22" t="str">
        <f t="shared" si="10"/>
        <v>Boyacá</v>
      </c>
      <c r="D225" s="22" t="str">
        <f t="shared" si="11"/>
        <v>Arcabuco, Boyacá</v>
      </c>
      <c r="E225" s="23">
        <v>15051</v>
      </c>
      <c r="F225" s="24">
        <v>0.2</v>
      </c>
      <c r="G225" s="24">
        <v>0.2</v>
      </c>
      <c r="H225" s="24" t="s">
        <v>36</v>
      </c>
      <c r="I225" s="24">
        <v>0.09</v>
      </c>
      <c r="J225" s="25">
        <v>0.05</v>
      </c>
    </row>
    <row r="226" spans="1:10" x14ac:dyDescent="0.3">
      <c r="A226" s="21" t="s">
        <v>262</v>
      </c>
      <c r="B226" s="22">
        <f t="shared" si="9"/>
        <v>0</v>
      </c>
      <c r="C226" s="22" t="str">
        <f t="shared" si="10"/>
        <v>Boyacá</v>
      </c>
      <c r="D226" s="22" t="str">
        <f t="shared" si="11"/>
        <v>Belén, Boyacá</v>
      </c>
      <c r="E226" s="23">
        <v>15087</v>
      </c>
      <c r="F226" s="24">
        <v>0.25</v>
      </c>
      <c r="G226" s="24">
        <v>0.25</v>
      </c>
      <c r="H226" s="24" t="s">
        <v>39</v>
      </c>
      <c r="I226" s="24">
        <v>0.16</v>
      </c>
      <c r="J226" s="25">
        <v>0.08</v>
      </c>
    </row>
    <row r="227" spans="1:10" x14ac:dyDescent="0.3">
      <c r="A227" s="21" t="s">
        <v>263</v>
      </c>
      <c r="B227" s="22">
        <f t="shared" si="9"/>
        <v>0</v>
      </c>
      <c r="C227" s="22" t="str">
        <f t="shared" si="10"/>
        <v>Boyacá</v>
      </c>
      <c r="D227" s="22" t="str">
        <f t="shared" si="11"/>
        <v>Berbeo, Boyacá</v>
      </c>
      <c r="E227" s="23">
        <v>15090</v>
      </c>
      <c r="F227" s="24">
        <v>0.25</v>
      </c>
      <c r="G227" s="24">
        <v>0.25</v>
      </c>
      <c r="H227" s="24" t="s">
        <v>39</v>
      </c>
      <c r="I227" s="24">
        <v>0.16</v>
      </c>
      <c r="J227" s="25">
        <v>0.08</v>
      </c>
    </row>
    <row r="228" spans="1:10" x14ac:dyDescent="0.3">
      <c r="A228" s="21" t="s">
        <v>264</v>
      </c>
      <c r="B228" s="22">
        <f t="shared" si="9"/>
        <v>0</v>
      </c>
      <c r="C228" s="22" t="str">
        <f t="shared" si="10"/>
        <v>Boyacá</v>
      </c>
      <c r="D228" s="22" t="str">
        <f t="shared" si="11"/>
        <v>Beteitiva, Boyacá</v>
      </c>
      <c r="E228" s="23">
        <v>15092</v>
      </c>
      <c r="F228" s="24">
        <v>0.25</v>
      </c>
      <c r="G228" s="24">
        <v>0.25</v>
      </c>
      <c r="H228" s="24" t="s">
        <v>39</v>
      </c>
      <c r="I228" s="24">
        <v>0.16</v>
      </c>
      <c r="J228" s="25">
        <v>0.08</v>
      </c>
    </row>
    <row r="229" spans="1:10" x14ac:dyDescent="0.3">
      <c r="A229" s="21" t="s">
        <v>265</v>
      </c>
      <c r="B229" s="22">
        <f t="shared" si="9"/>
        <v>0</v>
      </c>
      <c r="C229" s="22" t="str">
        <f t="shared" si="10"/>
        <v>Boyacá</v>
      </c>
      <c r="D229" s="22" t="str">
        <f t="shared" si="11"/>
        <v>Boavita, Boyacá</v>
      </c>
      <c r="E229" s="23">
        <v>15097</v>
      </c>
      <c r="F229" s="24">
        <v>0.25</v>
      </c>
      <c r="G229" s="24">
        <v>0.25</v>
      </c>
      <c r="H229" s="24" t="s">
        <v>39</v>
      </c>
      <c r="I229" s="24">
        <v>0.16</v>
      </c>
      <c r="J229" s="25">
        <v>0.08</v>
      </c>
    </row>
    <row r="230" spans="1:10" x14ac:dyDescent="0.3">
      <c r="A230" s="21" t="s">
        <v>18</v>
      </c>
      <c r="B230" s="22">
        <f t="shared" si="9"/>
        <v>0</v>
      </c>
      <c r="C230" s="22" t="str">
        <f t="shared" si="10"/>
        <v>Boyacá</v>
      </c>
      <c r="D230" s="22" t="str">
        <f t="shared" si="11"/>
        <v>Boyacá, Boyacá</v>
      </c>
      <c r="E230" s="23">
        <v>15104</v>
      </c>
      <c r="F230" s="24">
        <v>0.2</v>
      </c>
      <c r="G230" s="24">
        <v>0.2</v>
      </c>
      <c r="H230" s="24" t="s">
        <v>36</v>
      </c>
      <c r="I230" s="24">
        <v>0.14000000000000001</v>
      </c>
      <c r="J230" s="25">
        <v>0.06</v>
      </c>
    </row>
    <row r="231" spans="1:10" x14ac:dyDescent="0.3">
      <c r="A231" s="21" t="s">
        <v>77</v>
      </c>
      <c r="B231" s="22">
        <f t="shared" si="9"/>
        <v>0</v>
      </c>
      <c r="C231" s="22" t="str">
        <f t="shared" si="10"/>
        <v>Boyacá</v>
      </c>
      <c r="D231" s="22" t="str">
        <f t="shared" si="11"/>
        <v>Briceño, Boyacá</v>
      </c>
      <c r="E231" s="23">
        <v>15106</v>
      </c>
      <c r="F231" s="24">
        <v>0.15</v>
      </c>
      <c r="G231" s="24">
        <v>0.15</v>
      </c>
      <c r="H231" s="24" t="s">
        <v>36</v>
      </c>
      <c r="I231" s="24">
        <v>0.12</v>
      </c>
      <c r="J231" s="25">
        <v>7.0000000000000007E-2</v>
      </c>
    </row>
    <row r="232" spans="1:10" x14ac:dyDescent="0.3">
      <c r="A232" s="21" t="s">
        <v>266</v>
      </c>
      <c r="B232" s="22">
        <f t="shared" si="9"/>
        <v>0</v>
      </c>
      <c r="C232" s="22" t="str">
        <f t="shared" si="10"/>
        <v>Boyacá</v>
      </c>
      <c r="D232" s="22" t="str">
        <f t="shared" si="11"/>
        <v>Buenavista, Boyacá</v>
      </c>
      <c r="E232" s="23">
        <v>15109</v>
      </c>
      <c r="F232" s="24">
        <v>0.15</v>
      </c>
      <c r="G232" s="24">
        <v>0.15</v>
      </c>
      <c r="H232" s="24" t="s">
        <v>36</v>
      </c>
      <c r="I232" s="24">
        <v>0.11</v>
      </c>
      <c r="J232" s="25">
        <v>0.06</v>
      </c>
    </row>
    <row r="233" spans="1:10" x14ac:dyDescent="0.3">
      <c r="A233" s="21" t="s">
        <v>267</v>
      </c>
      <c r="B233" s="22">
        <f t="shared" si="9"/>
        <v>0</v>
      </c>
      <c r="C233" s="22" t="str">
        <f t="shared" si="10"/>
        <v>Boyacá</v>
      </c>
      <c r="D233" s="22" t="str">
        <f t="shared" si="11"/>
        <v>Busbanzá, Boyacá</v>
      </c>
      <c r="E233" s="23">
        <v>15114</v>
      </c>
      <c r="F233" s="24">
        <v>0.25</v>
      </c>
      <c r="G233" s="24">
        <v>0.25</v>
      </c>
      <c r="H233" s="24" t="s">
        <v>39</v>
      </c>
      <c r="I233" s="24">
        <v>0.16</v>
      </c>
      <c r="J233" s="25">
        <v>0.08</v>
      </c>
    </row>
    <row r="234" spans="1:10" x14ac:dyDescent="0.3">
      <c r="A234" s="21" t="s">
        <v>20</v>
      </c>
      <c r="B234" s="22">
        <f t="shared" si="9"/>
        <v>0</v>
      </c>
      <c r="C234" s="22" t="str">
        <f t="shared" si="10"/>
        <v>Boyacá</v>
      </c>
      <c r="D234" s="22" t="str">
        <f t="shared" si="11"/>
        <v>Caldas, Boyacá</v>
      </c>
      <c r="E234" s="23">
        <v>15131</v>
      </c>
      <c r="F234" s="24">
        <v>0.15</v>
      </c>
      <c r="G234" s="24">
        <v>0.15</v>
      </c>
      <c r="H234" s="24" t="s">
        <v>36</v>
      </c>
      <c r="I234" s="24">
        <v>0.11</v>
      </c>
      <c r="J234" s="25">
        <v>0.06</v>
      </c>
    </row>
    <row r="235" spans="1:10" x14ac:dyDescent="0.3">
      <c r="A235" s="21" t="s">
        <v>268</v>
      </c>
      <c r="B235" s="22">
        <f t="shared" si="9"/>
        <v>0</v>
      </c>
      <c r="C235" s="22" t="str">
        <f t="shared" si="10"/>
        <v>Boyacá</v>
      </c>
      <c r="D235" s="22" t="str">
        <f t="shared" si="11"/>
        <v>Campohermoso, Boyacá</v>
      </c>
      <c r="E235" s="23">
        <v>15135</v>
      </c>
      <c r="F235" s="24">
        <v>0.3</v>
      </c>
      <c r="G235" s="24">
        <v>0.25</v>
      </c>
      <c r="H235" s="24" t="s">
        <v>39</v>
      </c>
      <c r="I235" s="24">
        <v>0.16</v>
      </c>
      <c r="J235" s="25">
        <v>0.08</v>
      </c>
    </row>
    <row r="236" spans="1:10" x14ac:dyDescent="0.3">
      <c r="A236" s="21" t="s">
        <v>269</v>
      </c>
      <c r="B236" s="22">
        <f t="shared" si="9"/>
        <v>0</v>
      </c>
      <c r="C236" s="22" t="str">
        <f t="shared" si="10"/>
        <v>Boyacá</v>
      </c>
      <c r="D236" s="22" t="str">
        <f t="shared" si="11"/>
        <v>Cerinza, Boyacá</v>
      </c>
      <c r="E236" s="23">
        <v>15162</v>
      </c>
      <c r="F236" s="24">
        <v>0.2</v>
      </c>
      <c r="G236" s="24">
        <v>0.25</v>
      </c>
      <c r="H236" s="24" t="s">
        <v>39</v>
      </c>
      <c r="I236" s="24">
        <v>0.15</v>
      </c>
      <c r="J236" s="25">
        <v>7.0000000000000007E-2</v>
      </c>
    </row>
    <row r="237" spans="1:10" x14ac:dyDescent="0.3">
      <c r="A237" s="21" t="s">
        <v>270</v>
      </c>
      <c r="B237" s="22">
        <f t="shared" si="9"/>
        <v>0</v>
      </c>
      <c r="C237" s="22" t="str">
        <f t="shared" si="10"/>
        <v>Boyacá</v>
      </c>
      <c r="D237" s="22" t="str">
        <f t="shared" si="11"/>
        <v>Chinavita, Boyacá</v>
      </c>
      <c r="E237" s="23">
        <v>15172</v>
      </c>
      <c r="F237" s="24">
        <v>0.2</v>
      </c>
      <c r="G237" s="24">
        <v>0.25</v>
      </c>
      <c r="H237" s="24" t="s">
        <v>39</v>
      </c>
      <c r="I237" s="24">
        <v>0.16</v>
      </c>
      <c r="J237" s="25">
        <v>0.08</v>
      </c>
    </row>
    <row r="238" spans="1:10" x14ac:dyDescent="0.3">
      <c r="A238" s="21" t="s">
        <v>271</v>
      </c>
      <c r="B238" s="22">
        <f t="shared" si="9"/>
        <v>0</v>
      </c>
      <c r="C238" s="22" t="str">
        <f t="shared" si="10"/>
        <v>Boyacá</v>
      </c>
      <c r="D238" s="22" t="str">
        <f t="shared" si="11"/>
        <v>Chiquinquirá, Boyacá</v>
      </c>
      <c r="E238" s="23">
        <v>15176</v>
      </c>
      <c r="F238" s="24">
        <v>0.15</v>
      </c>
      <c r="G238" s="24">
        <v>0.2</v>
      </c>
      <c r="H238" s="24" t="s">
        <v>36</v>
      </c>
      <c r="I238" s="24">
        <v>0.1</v>
      </c>
      <c r="J238" s="25">
        <v>0.06</v>
      </c>
    </row>
    <row r="239" spans="1:10" x14ac:dyDescent="0.3">
      <c r="A239" s="21" t="s">
        <v>272</v>
      </c>
      <c r="B239" s="22">
        <f t="shared" si="9"/>
        <v>0</v>
      </c>
      <c r="C239" s="22" t="str">
        <f t="shared" si="10"/>
        <v>Boyacá</v>
      </c>
      <c r="D239" s="22" t="str">
        <f t="shared" si="11"/>
        <v>Chíquiza, Boyacá</v>
      </c>
      <c r="E239" s="23">
        <v>15232</v>
      </c>
      <c r="F239" s="24">
        <v>0.2</v>
      </c>
      <c r="G239" s="24">
        <v>0.2</v>
      </c>
      <c r="H239" s="24" t="s">
        <v>36</v>
      </c>
      <c r="I239" s="24">
        <v>0.1</v>
      </c>
      <c r="J239" s="25">
        <v>0.05</v>
      </c>
    </row>
    <row r="240" spans="1:10" x14ac:dyDescent="0.3">
      <c r="A240" s="21" t="s">
        <v>273</v>
      </c>
      <c r="B240" s="22">
        <f t="shared" si="9"/>
        <v>0</v>
      </c>
      <c r="C240" s="22" t="str">
        <f t="shared" si="10"/>
        <v>Boyacá</v>
      </c>
      <c r="D240" s="22" t="str">
        <f t="shared" si="11"/>
        <v>Chiscas, Boyacá</v>
      </c>
      <c r="E240" s="23">
        <v>15180</v>
      </c>
      <c r="F240" s="24">
        <v>0.25</v>
      </c>
      <c r="G240" s="24">
        <v>0.3</v>
      </c>
      <c r="H240" s="24" t="s">
        <v>39</v>
      </c>
      <c r="I240" s="24">
        <v>0.16</v>
      </c>
      <c r="J240" s="25">
        <v>0.08</v>
      </c>
    </row>
    <row r="241" spans="1:10" x14ac:dyDescent="0.3">
      <c r="A241" s="21" t="s">
        <v>274</v>
      </c>
      <c r="B241" s="22">
        <f t="shared" si="9"/>
        <v>0</v>
      </c>
      <c r="C241" s="22" t="str">
        <f t="shared" si="10"/>
        <v>Boyacá</v>
      </c>
      <c r="D241" s="22" t="str">
        <f t="shared" si="11"/>
        <v>Chita, Boyacá</v>
      </c>
      <c r="E241" s="23">
        <v>15183</v>
      </c>
      <c r="F241" s="24">
        <v>0.25</v>
      </c>
      <c r="G241" s="24">
        <v>0.3</v>
      </c>
      <c r="H241" s="24" t="s">
        <v>39</v>
      </c>
      <c r="I241" s="24">
        <v>0.16</v>
      </c>
      <c r="J241" s="25">
        <v>0.08</v>
      </c>
    </row>
    <row r="242" spans="1:10" x14ac:dyDescent="0.3">
      <c r="A242" s="21" t="s">
        <v>275</v>
      </c>
      <c r="B242" s="22">
        <f t="shared" si="9"/>
        <v>0</v>
      </c>
      <c r="C242" s="22" t="str">
        <f t="shared" si="10"/>
        <v>Boyacá</v>
      </c>
      <c r="D242" s="22" t="str">
        <f t="shared" si="11"/>
        <v>Chitaraque, Boyacá</v>
      </c>
      <c r="E242" s="23">
        <v>15185</v>
      </c>
      <c r="F242" s="24">
        <v>0.15</v>
      </c>
      <c r="G242" s="24">
        <v>0.2</v>
      </c>
      <c r="H242" s="24" t="s">
        <v>36</v>
      </c>
      <c r="I242" s="24">
        <v>0.1</v>
      </c>
      <c r="J242" s="25">
        <v>0.06</v>
      </c>
    </row>
    <row r="243" spans="1:10" x14ac:dyDescent="0.3">
      <c r="A243" s="21" t="s">
        <v>276</v>
      </c>
      <c r="B243" s="22">
        <f t="shared" si="9"/>
        <v>0</v>
      </c>
      <c r="C243" s="22" t="str">
        <f t="shared" si="10"/>
        <v>Boyacá</v>
      </c>
      <c r="D243" s="22" t="str">
        <f t="shared" si="11"/>
        <v>Chivatá, Boyacá</v>
      </c>
      <c r="E243" s="23">
        <v>15187</v>
      </c>
      <c r="F243" s="24">
        <v>0.15</v>
      </c>
      <c r="G243" s="24">
        <v>0.25</v>
      </c>
      <c r="H243" s="24" t="s">
        <v>39</v>
      </c>
      <c r="I243" s="24">
        <v>0.14000000000000001</v>
      </c>
      <c r="J243" s="25">
        <v>7.0000000000000007E-2</v>
      </c>
    </row>
    <row r="244" spans="1:10" x14ac:dyDescent="0.3">
      <c r="A244" s="21" t="s">
        <v>277</v>
      </c>
      <c r="B244" s="22">
        <f t="shared" si="9"/>
        <v>0</v>
      </c>
      <c r="C244" s="22" t="str">
        <f t="shared" si="10"/>
        <v>Boyacá</v>
      </c>
      <c r="D244" s="22" t="str">
        <f t="shared" si="11"/>
        <v>Chivor, Boyacá</v>
      </c>
      <c r="E244" s="23">
        <v>15236</v>
      </c>
      <c r="F244" s="24">
        <v>0.25</v>
      </c>
      <c r="G244" s="24">
        <v>0.25</v>
      </c>
      <c r="H244" s="24" t="s">
        <v>39</v>
      </c>
      <c r="I244" s="24">
        <v>0.16</v>
      </c>
      <c r="J244" s="25">
        <v>0.08</v>
      </c>
    </row>
    <row r="245" spans="1:10" x14ac:dyDescent="0.3">
      <c r="A245" s="21" t="s">
        <v>278</v>
      </c>
      <c r="B245" s="22">
        <f t="shared" si="9"/>
        <v>0</v>
      </c>
      <c r="C245" s="22" t="str">
        <f t="shared" si="10"/>
        <v>Boyacá</v>
      </c>
      <c r="D245" s="22" t="str">
        <f t="shared" si="11"/>
        <v>Ciénega, Boyacá</v>
      </c>
      <c r="E245" s="23">
        <v>15189</v>
      </c>
      <c r="F245" s="24">
        <v>0.2</v>
      </c>
      <c r="G245" s="24">
        <v>0.25</v>
      </c>
      <c r="H245" s="24" t="s">
        <v>39</v>
      </c>
      <c r="I245" s="24">
        <v>0.16</v>
      </c>
      <c r="J245" s="25">
        <v>0.08</v>
      </c>
    </row>
    <row r="246" spans="1:10" x14ac:dyDescent="0.3">
      <c r="A246" s="21" t="s">
        <v>279</v>
      </c>
      <c r="B246" s="22">
        <f t="shared" si="9"/>
        <v>0</v>
      </c>
      <c r="C246" s="22" t="str">
        <f t="shared" si="10"/>
        <v>Boyacá</v>
      </c>
      <c r="D246" s="22" t="str">
        <f t="shared" si="11"/>
        <v>Cómbita, Boyacá</v>
      </c>
      <c r="E246" s="23">
        <v>15204</v>
      </c>
      <c r="F246" s="24">
        <v>0.2</v>
      </c>
      <c r="G246" s="24">
        <v>0.2</v>
      </c>
      <c r="H246" s="24" t="s">
        <v>36</v>
      </c>
      <c r="I246" s="24">
        <v>0.11</v>
      </c>
      <c r="J246" s="25">
        <v>0.05</v>
      </c>
    </row>
    <row r="247" spans="1:10" x14ac:dyDescent="0.3">
      <c r="A247" s="21" t="s">
        <v>280</v>
      </c>
      <c r="B247" s="22">
        <f t="shared" si="9"/>
        <v>0</v>
      </c>
      <c r="C247" s="22" t="str">
        <f t="shared" si="10"/>
        <v>Boyacá</v>
      </c>
      <c r="D247" s="22" t="str">
        <f t="shared" si="11"/>
        <v>Coper, Boyacá</v>
      </c>
      <c r="E247" s="23">
        <v>15212</v>
      </c>
      <c r="F247" s="24">
        <v>0.15</v>
      </c>
      <c r="G247" s="24">
        <v>0.15</v>
      </c>
      <c r="H247" s="24" t="s">
        <v>36</v>
      </c>
      <c r="I247" s="24">
        <v>0.11</v>
      </c>
      <c r="J247" s="25">
        <v>0.06</v>
      </c>
    </row>
    <row r="248" spans="1:10" x14ac:dyDescent="0.3">
      <c r="A248" s="21" t="s">
        <v>281</v>
      </c>
      <c r="B248" s="22">
        <f t="shared" si="9"/>
        <v>0</v>
      </c>
      <c r="C248" s="22" t="str">
        <f t="shared" si="10"/>
        <v>Boyacá</v>
      </c>
      <c r="D248" s="22" t="str">
        <f t="shared" si="11"/>
        <v>Corrales, Boyacá</v>
      </c>
      <c r="E248" s="23">
        <v>15215</v>
      </c>
      <c r="F248" s="24">
        <v>0.25</v>
      </c>
      <c r="G248" s="24">
        <v>0.25</v>
      </c>
      <c r="H248" s="24" t="s">
        <v>39</v>
      </c>
      <c r="I248" s="24">
        <v>0.16</v>
      </c>
      <c r="J248" s="25">
        <v>0.08</v>
      </c>
    </row>
    <row r="249" spans="1:10" x14ac:dyDescent="0.3">
      <c r="A249" s="21" t="s">
        <v>282</v>
      </c>
      <c r="B249" s="22">
        <f t="shared" si="9"/>
        <v>0</v>
      </c>
      <c r="C249" s="22" t="str">
        <f t="shared" si="10"/>
        <v>Boyacá</v>
      </c>
      <c r="D249" s="22" t="str">
        <f t="shared" si="11"/>
        <v>Covarachia, Boyacá</v>
      </c>
      <c r="E249" s="23">
        <v>15218</v>
      </c>
      <c r="F249" s="24">
        <v>0.2</v>
      </c>
      <c r="G249" s="24">
        <v>0.25</v>
      </c>
      <c r="H249" s="24" t="s">
        <v>39</v>
      </c>
      <c r="I249" s="24">
        <v>0.14000000000000001</v>
      </c>
      <c r="J249" s="25">
        <v>7.0000000000000007E-2</v>
      </c>
    </row>
    <row r="250" spans="1:10" x14ac:dyDescent="0.3">
      <c r="A250" s="21" t="s">
        <v>283</v>
      </c>
      <c r="B250" s="22">
        <f t="shared" si="9"/>
        <v>0</v>
      </c>
      <c r="C250" s="22" t="str">
        <f t="shared" si="10"/>
        <v>Boyacá</v>
      </c>
      <c r="D250" s="22" t="str">
        <f t="shared" si="11"/>
        <v>Cubará, Boyacá</v>
      </c>
      <c r="E250" s="23">
        <v>15223</v>
      </c>
      <c r="F250" s="24">
        <v>0.3</v>
      </c>
      <c r="G250" s="24">
        <v>0.3</v>
      </c>
      <c r="H250" s="24" t="s">
        <v>39</v>
      </c>
      <c r="I250" s="24">
        <v>0.16</v>
      </c>
      <c r="J250" s="25">
        <v>0.08</v>
      </c>
    </row>
    <row r="251" spans="1:10" x14ac:dyDescent="0.3">
      <c r="A251" s="21" t="s">
        <v>284</v>
      </c>
      <c r="B251" s="22">
        <f t="shared" si="9"/>
        <v>0</v>
      </c>
      <c r="C251" s="22" t="str">
        <f t="shared" si="10"/>
        <v>Boyacá</v>
      </c>
      <c r="D251" s="22" t="str">
        <f t="shared" si="11"/>
        <v>Cucaita, Boyacá</v>
      </c>
      <c r="E251" s="23">
        <v>15224</v>
      </c>
      <c r="F251" s="24">
        <v>0.2</v>
      </c>
      <c r="G251" s="24">
        <v>0.2</v>
      </c>
      <c r="H251" s="24" t="s">
        <v>36</v>
      </c>
      <c r="I251" s="24">
        <v>0.11</v>
      </c>
      <c r="J251" s="25">
        <v>0.05</v>
      </c>
    </row>
    <row r="252" spans="1:10" x14ac:dyDescent="0.3">
      <c r="A252" s="21" t="s">
        <v>285</v>
      </c>
      <c r="B252" s="22">
        <f t="shared" si="9"/>
        <v>0</v>
      </c>
      <c r="C252" s="22" t="str">
        <f t="shared" si="10"/>
        <v>Boyacá</v>
      </c>
      <c r="D252" s="22" t="str">
        <f t="shared" si="11"/>
        <v>Cuitiva, Boyacá</v>
      </c>
      <c r="E252" s="23">
        <v>15226</v>
      </c>
      <c r="F252" s="24">
        <v>0.25</v>
      </c>
      <c r="G252" s="24">
        <v>0.25</v>
      </c>
      <c r="H252" s="24" t="s">
        <v>39</v>
      </c>
      <c r="I252" s="24">
        <v>0.16</v>
      </c>
      <c r="J252" s="25">
        <v>0.08</v>
      </c>
    </row>
    <row r="253" spans="1:10" x14ac:dyDescent="0.3">
      <c r="A253" s="21" t="s">
        <v>286</v>
      </c>
      <c r="B253" s="22">
        <f t="shared" si="9"/>
        <v>0</v>
      </c>
      <c r="C253" s="22" t="str">
        <f t="shared" si="10"/>
        <v>Boyacá</v>
      </c>
      <c r="D253" s="22" t="str">
        <f t="shared" si="11"/>
        <v>Duitama, Boyacá</v>
      </c>
      <c r="E253" s="23">
        <v>15238</v>
      </c>
      <c r="F253" s="24">
        <v>0.2</v>
      </c>
      <c r="G253" s="24">
        <v>0.25</v>
      </c>
      <c r="H253" s="24" t="s">
        <v>39</v>
      </c>
      <c r="I253" s="24">
        <v>0.14000000000000001</v>
      </c>
      <c r="J253" s="25">
        <v>7.0000000000000007E-2</v>
      </c>
    </row>
    <row r="254" spans="1:10" x14ac:dyDescent="0.3">
      <c r="A254" s="21" t="s">
        <v>287</v>
      </c>
      <c r="B254" s="22">
        <f t="shared" si="9"/>
        <v>0</v>
      </c>
      <c r="C254" s="22" t="str">
        <f t="shared" si="10"/>
        <v>Boyacá</v>
      </c>
      <c r="D254" s="22" t="str">
        <f t="shared" si="11"/>
        <v>El Cocuy, Boyacá</v>
      </c>
      <c r="E254" s="23">
        <v>15244</v>
      </c>
      <c r="F254" s="24">
        <v>0.25</v>
      </c>
      <c r="G254" s="24">
        <v>0.3</v>
      </c>
      <c r="H254" s="24" t="s">
        <v>39</v>
      </c>
      <c r="I254" s="24">
        <v>0.22</v>
      </c>
      <c r="J254" s="25">
        <v>0.08</v>
      </c>
    </row>
    <row r="255" spans="1:10" x14ac:dyDescent="0.3">
      <c r="A255" s="21" t="s">
        <v>288</v>
      </c>
      <c r="B255" s="22">
        <f t="shared" si="9"/>
        <v>0</v>
      </c>
      <c r="C255" s="22" t="str">
        <f t="shared" si="10"/>
        <v>Boyacá</v>
      </c>
      <c r="D255" s="22" t="str">
        <f t="shared" si="11"/>
        <v>El Espino, Boyacá</v>
      </c>
      <c r="E255" s="23">
        <v>15248</v>
      </c>
      <c r="F255" s="24">
        <v>0.25</v>
      </c>
      <c r="G255" s="24">
        <v>0.3</v>
      </c>
      <c r="H255" s="24" t="s">
        <v>39</v>
      </c>
      <c r="I255" s="24">
        <v>0.16</v>
      </c>
      <c r="J255" s="25">
        <v>0.08</v>
      </c>
    </row>
    <row r="256" spans="1:10" x14ac:dyDescent="0.3">
      <c r="A256" s="21" t="s">
        <v>289</v>
      </c>
      <c r="B256" s="22">
        <f t="shared" si="9"/>
        <v>0</v>
      </c>
      <c r="C256" s="22" t="str">
        <f t="shared" si="10"/>
        <v>Boyacá</v>
      </c>
      <c r="D256" s="22" t="str">
        <f t="shared" si="11"/>
        <v>Firavitoba, Boyacá</v>
      </c>
      <c r="E256" s="23">
        <v>15272</v>
      </c>
      <c r="F256" s="24">
        <v>0.2</v>
      </c>
      <c r="G256" s="24">
        <v>0.25</v>
      </c>
      <c r="H256" s="24" t="s">
        <v>39</v>
      </c>
      <c r="I256" s="24">
        <v>0.16</v>
      </c>
      <c r="J256" s="25">
        <v>0.08</v>
      </c>
    </row>
    <row r="257" spans="1:10" x14ac:dyDescent="0.3">
      <c r="A257" s="21" t="s">
        <v>290</v>
      </c>
      <c r="B257" s="22">
        <f t="shared" si="9"/>
        <v>0</v>
      </c>
      <c r="C257" s="22" t="str">
        <f t="shared" si="10"/>
        <v>Boyacá</v>
      </c>
      <c r="D257" s="22" t="str">
        <f t="shared" si="11"/>
        <v>Floresta, Boyacá</v>
      </c>
      <c r="E257" s="23">
        <v>15276</v>
      </c>
      <c r="F257" s="24">
        <v>0.25</v>
      </c>
      <c r="G257" s="24">
        <v>0.25</v>
      </c>
      <c r="H257" s="24" t="s">
        <v>39</v>
      </c>
      <c r="I257" s="24">
        <v>0.16</v>
      </c>
      <c r="J257" s="25">
        <v>0.08</v>
      </c>
    </row>
    <row r="258" spans="1:10" x14ac:dyDescent="0.3">
      <c r="A258" s="21" t="s">
        <v>291</v>
      </c>
      <c r="B258" s="22">
        <f t="shared" si="9"/>
        <v>0</v>
      </c>
      <c r="C258" s="22" t="str">
        <f t="shared" si="10"/>
        <v>Boyacá</v>
      </c>
      <c r="D258" s="22" t="str">
        <f t="shared" si="11"/>
        <v>Gachantiva, Boyacá</v>
      </c>
      <c r="E258" s="23">
        <v>15293</v>
      </c>
      <c r="F258" s="24">
        <v>0.15</v>
      </c>
      <c r="G258" s="24">
        <v>0.2</v>
      </c>
      <c r="H258" s="24" t="s">
        <v>36</v>
      </c>
      <c r="I258" s="24">
        <v>0.09</v>
      </c>
      <c r="J258" s="25">
        <v>0.05</v>
      </c>
    </row>
    <row r="259" spans="1:10" x14ac:dyDescent="0.3">
      <c r="A259" s="21" t="s">
        <v>292</v>
      </c>
      <c r="B259" s="22">
        <f t="shared" ref="B259:B322" si="12">IFERROR(FIND("Departamento",A259),0)</f>
        <v>0</v>
      </c>
      <c r="C259" s="22" t="str">
        <f t="shared" ref="C259:C322" si="13">IF(B259=1,IF(ISERROR(FIND("del",A259)),MID(A259,17,30),MID(A259,18,30)),C258)</f>
        <v>Boyacá</v>
      </c>
      <c r="D259" s="22" t="str">
        <f t="shared" ref="D259:D322" si="14">IF(B259=1,"",CONCATENATE(A259,", ",C259))</f>
        <v>Gámeza, Boyacá</v>
      </c>
      <c r="E259" s="23">
        <v>15296</v>
      </c>
      <c r="F259" s="24">
        <v>0.25</v>
      </c>
      <c r="G259" s="24">
        <v>0.25</v>
      </c>
      <c r="H259" s="24" t="s">
        <v>39</v>
      </c>
      <c r="I259" s="24">
        <v>0.16</v>
      </c>
      <c r="J259" s="25">
        <v>0.08</v>
      </c>
    </row>
    <row r="260" spans="1:10" x14ac:dyDescent="0.3">
      <c r="A260" s="21" t="s">
        <v>293</v>
      </c>
      <c r="B260" s="22">
        <f t="shared" si="12"/>
        <v>0</v>
      </c>
      <c r="C260" s="22" t="str">
        <f t="shared" si="13"/>
        <v>Boyacá</v>
      </c>
      <c r="D260" s="22" t="str">
        <f t="shared" si="14"/>
        <v>Garagoa, Boyacá</v>
      </c>
      <c r="E260" s="23">
        <v>15299</v>
      </c>
      <c r="F260" s="24">
        <v>0.25</v>
      </c>
      <c r="G260" s="37">
        <v>0.25</v>
      </c>
      <c r="H260" s="24" t="s">
        <v>39</v>
      </c>
      <c r="I260" s="24">
        <v>0.16</v>
      </c>
      <c r="J260" s="25">
        <v>0.08</v>
      </c>
    </row>
    <row r="261" spans="1:10" x14ac:dyDescent="0.3">
      <c r="A261" s="21" t="s">
        <v>294</v>
      </c>
      <c r="B261" s="22">
        <f t="shared" si="12"/>
        <v>0</v>
      </c>
      <c r="C261" s="22" t="str">
        <f t="shared" si="13"/>
        <v>Boyacá</v>
      </c>
      <c r="D261" s="22" t="str">
        <f t="shared" si="14"/>
        <v>Guacamayas, Boyacá</v>
      </c>
      <c r="E261" s="23">
        <v>15317</v>
      </c>
      <c r="F261" s="24">
        <v>0.25</v>
      </c>
      <c r="G261" s="24">
        <v>0.25</v>
      </c>
      <c r="H261" s="24" t="s">
        <v>39</v>
      </c>
      <c r="I261" s="24">
        <v>0.18</v>
      </c>
      <c r="J261" s="25">
        <v>0.08</v>
      </c>
    </row>
    <row r="262" spans="1:10" x14ac:dyDescent="0.3">
      <c r="A262" s="21" t="s">
        <v>295</v>
      </c>
      <c r="B262" s="22">
        <f t="shared" si="12"/>
        <v>0</v>
      </c>
      <c r="C262" s="22" t="str">
        <f t="shared" si="13"/>
        <v>Boyacá</v>
      </c>
      <c r="D262" s="22" t="str">
        <f t="shared" si="14"/>
        <v>Guateque, Boyacá</v>
      </c>
      <c r="E262" s="23">
        <v>15322</v>
      </c>
      <c r="F262" s="24">
        <v>0.2</v>
      </c>
      <c r="G262" s="24">
        <v>0.25</v>
      </c>
      <c r="H262" s="24" t="s">
        <v>39</v>
      </c>
      <c r="I262" s="24">
        <v>0.16</v>
      </c>
      <c r="J262" s="25">
        <v>7.0000000000000007E-2</v>
      </c>
    </row>
    <row r="263" spans="1:10" x14ac:dyDescent="0.3">
      <c r="A263" s="21" t="s">
        <v>296</v>
      </c>
      <c r="B263" s="22">
        <f t="shared" si="12"/>
        <v>0</v>
      </c>
      <c r="C263" s="22" t="str">
        <f t="shared" si="13"/>
        <v>Boyacá</v>
      </c>
      <c r="D263" s="22" t="str">
        <f t="shared" si="14"/>
        <v>Guayatá, Boyacá</v>
      </c>
      <c r="E263" s="23">
        <v>15325</v>
      </c>
      <c r="F263" s="24">
        <v>0.25</v>
      </c>
      <c r="G263" s="24">
        <v>0.25</v>
      </c>
      <c r="H263" s="24" t="s">
        <v>39</v>
      </c>
      <c r="I263" s="24">
        <v>0.16</v>
      </c>
      <c r="J263" s="25">
        <v>0.08</v>
      </c>
    </row>
    <row r="264" spans="1:10" x14ac:dyDescent="0.3">
      <c r="A264" s="21" t="s">
        <v>297</v>
      </c>
      <c r="B264" s="22">
        <f t="shared" si="12"/>
        <v>0</v>
      </c>
      <c r="C264" s="22" t="str">
        <f t="shared" si="13"/>
        <v>Boyacá</v>
      </c>
      <c r="D264" s="22" t="str">
        <f t="shared" si="14"/>
        <v>Guicán, Boyacá</v>
      </c>
      <c r="E264" s="23">
        <v>15332</v>
      </c>
      <c r="F264" s="24">
        <v>0.3</v>
      </c>
      <c r="G264" s="24">
        <v>0.3</v>
      </c>
      <c r="H264" s="24" t="s">
        <v>39</v>
      </c>
      <c r="I264" s="24">
        <v>0.16</v>
      </c>
      <c r="J264" s="25">
        <v>0.08</v>
      </c>
    </row>
    <row r="265" spans="1:10" x14ac:dyDescent="0.3">
      <c r="A265" s="21" t="s">
        <v>298</v>
      </c>
      <c r="B265" s="22">
        <f t="shared" si="12"/>
        <v>0</v>
      </c>
      <c r="C265" s="22" t="str">
        <f t="shared" si="13"/>
        <v>Boyacá</v>
      </c>
      <c r="D265" s="22" t="str">
        <f t="shared" si="14"/>
        <v>Iza, Boyacá</v>
      </c>
      <c r="E265" s="23">
        <v>15362</v>
      </c>
      <c r="F265" s="24">
        <v>0.2</v>
      </c>
      <c r="G265" s="24">
        <v>0.25</v>
      </c>
      <c r="H265" s="24" t="s">
        <v>39</v>
      </c>
      <c r="I265" s="24">
        <v>0.16</v>
      </c>
      <c r="J265" s="25">
        <v>0.08</v>
      </c>
    </row>
    <row r="266" spans="1:10" x14ac:dyDescent="0.3">
      <c r="A266" s="21" t="s">
        <v>299</v>
      </c>
      <c r="B266" s="22">
        <f t="shared" si="12"/>
        <v>0</v>
      </c>
      <c r="C266" s="22" t="str">
        <f t="shared" si="13"/>
        <v>Boyacá</v>
      </c>
      <c r="D266" s="22" t="str">
        <f t="shared" si="14"/>
        <v>Jenesano, Boyacá</v>
      </c>
      <c r="E266" s="23">
        <v>15367</v>
      </c>
      <c r="F266" s="24">
        <v>0.2</v>
      </c>
      <c r="G266" s="24">
        <v>0.25</v>
      </c>
      <c r="H266" s="24" t="s">
        <v>39</v>
      </c>
      <c r="I266" s="24">
        <v>0.15</v>
      </c>
      <c r="J266" s="25">
        <v>7.0000000000000007E-2</v>
      </c>
    </row>
    <row r="267" spans="1:10" x14ac:dyDescent="0.3">
      <c r="A267" s="21" t="s">
        <v>116</v>
      </c>
      <c r="B267" s="22">
        <f t="shared" si="12"/>
        <v>0</v>
      </c>
      <c r="C267" s="22" t="str">
        <f t="shared" si="13"/>
        <v>Boyacá</v>
      </c>
      <c r="D267" s="22" t="str">
        <f t="shared" si="14"/>
        <v>Jericó, Boyacá</v>
      </c>
      <c r="E267" s="23">
        <v>15368</v>
      </c>
      <c r="F267" s="24">
        <v>0.25</v>
      </c>
      <c r="G267" s="24">
        <v>0.25</v>
      </c>
      <c r="H267" s="24" t="s">
        <v>39</v>
      </c>
      <c r="I267" s="24">
        <v>0.16</v>
      </c>
      <c r="J267" s="25">
        <v>0.08</v>
      </c>
    </row>
    <row r="268" spans="1:10" x14ac:dyDescent="0.3">
      <c r="A268" s="21" t="s">
        <v>300</v>
      </c>
      <c r="B268" s="22">
        <f t="shared" si="12"/>
        <v>0</v>
      </c>
      <c r="C268" s="22" t="str">
        <f t="shared" si="13"/>
        <v>Boyacá</v>
      </c>
      <c r="D268" s="22" t="str">
        <f t="shared" si="14"/>
        <v>La Capilla, Boyacá</v>
      </c>
      <c r="E268" s="23">
        <v>15380</v>
      </c>
      <c r="F268" s="24">
        <v>0.2</v>
      </c>
      <c r="G268" s="24">
        <v>0.25</v>
      </c>
      <c r="H268" s="24" t="s">
        <v>39</v>
      </c>
      <c r="I268" s="24">
        <v>0.16</v>
      </c>
      <c r="J268" s="25">
        <v>7.0000000000000007E-2</v>
      </c>
    </row>
    <row r="269" spans="1:10" x14ac:dyDescent="0.3">
      <c r="A269" s="21" t="s">
        <v>301</v>
      </c>
      <c r="B269" s="22">
        <f t="shared" si="12"/>
        <v>0</v>
      </c>
      <c r="C269" s="22" t="str">
        <f t="shared" si="13"/>
        <v>Boyacá</v>
      </c>
      <c r="D269" s="22" t="str">
        <f t="shared" si="14"/>
        <v>La Uvita, Boyacá</v>
      </c>
      <c r="E269" s="23">
        <v>15403</v>
      </c>
      <c r="F269" s="24">
        <v>0.25</v>
      </c>
      <c r="G269" s="24">
        <v>0.25</v>
      </c>
      <c r="H269" s="24" t="s">
        <v>39</v>
      </c>
      <c r="I269" s="24">
        <v>0.16</v>
      </c>
      <c r="J269" s="25">
        <v>0.08</v>
      </c>
    </row>
    <row r="270" spans="1:10" x14ac:dyDescent="0.3">
      <c r="A270" s="21" t="s">
        <v>19</v>
      </c>
      <c r="B270" s="22">
        <f t="shared" si="12"/>
        <v>0</v>
      </c>
      <c r="C270" s="22" t="str">
        <f t="shared" si="13"/>
        <v>Boyacá</v>
      </c>
      <c r="D270" s="22" t="str">
        <f t="shared" si="14"/>
        <v>La Victoria, Boyacá</v>
      </c>
      <c r="E270" s="23">
        <v>15401</v>
      </c>
      <c r="F270" s="24">
        <v>0.15</v>
      </c>
      <c r="G270" s="24">
        <v>0.15</v>
      </c>
      <c r="H270" s="24" t="s">
        <v>36</v>
      </c>
      <c r="I270" s="24">
        <v>0.16</v>
      </c>
      <c r="J270" s="25">
        <v>0.08</v>
      </c>
    </row>
    <row r="271" spans="1:10" x14ac:dyDescent="0.3">
      <c r="A271" s="21" t="s">
        <v>302</v>
      </c>
      <c r="B271" s="22">
        <f t="shared" si="12"/>
        <v>0</v>
      </c>
      <c r="C271" s="22" t="str">
        <f t="shared" si="13"/>
        <v>Boyacá</v>
      </c>
      <c r="D271" s="22" t="str">
        <f t="shared" si="14"/>
        <v>Labranzagrande, Boyacá</v>
      </c>
      <c r="E271" s="23">
        <v>15377</v>
      </c>
      <c r="F271" s="24">
        <v>0.3</v>
      </c>
      <c r="G271" s="24">
        <v>0.25</v>
      </c>
      <c r="H271" s="24" t="s">
        <v>39</v>
      </c>
      <c r="I271" s="24">
        <v>0.16</v>
      </c>
      <c r="J271" s="25">
        <v>0.08</v>
      </c>
    </row>
    <row r="272" spans="1:10" x14ac:dyDescent="0.3">
      <c r="A272" s="21" t="s">
        <v>303</v>
      </c>
      <c r="B272" s="22">
        <f t="shared" si="12"/>
        <v>0</v>
      </c>
      <c r="C272" s="22" t="str">
        <f t="shared" si="13"/>
        <v>Boyacá</v>
      </c>
      <c r="D272" s="22" t="str">
        <f t="shared" si="14"/>
        <v>Macanal, Boyacá</v>
      </c>
      <c r="E272" s="23">
        <v>15425</v>
      </c>
      <c r="F272" s="24">
        <v>0.25</v>
      </c>
      <c r="G272" s="24">
        <v>0.25</v>
      </c>
      <c r="H272" s="24" t="s">
        <v>39</v>
      </c>
      <c r="I272" s="24">
        <v>0.16</v>
      </c>
      <c r="J272" s="25">
        <v>0.08</v>
      </c>
    </row>
    <row r="273" spans="1:10" x14ac:dyDescent="0.3">
      <c r="A273" s="21" t="s">
        <v>304</v>
      </c>
      <c r="B273" s="22">
        <f t="shared" si="12"/>
        <v>0</v>
      </c>
      <c r="C273" s="22" t="str">
        <f t="shared" si="13"/>
        <v>Boyacá</v>
      </c>
      <c r="D273" s="22" t="str">
        <f t="shared" si="14"/>
        <v>Maripí, Boyacá</v>
      </c>
      <c r="E273" s="23">
        <v>15442</v>
      </c>
      <c r="F273" s="37">
        <v>0.15</v>
      </c>
      <c r="G273" s="24">
        <v>0.15</v>
      </c>
      <c r="H273" s="24" t="s">
        <v>36</v>
      </c>
      <c r="I273" s="24">
        <v>0.13</v>
      </c>
      <c r="J273" s="25">
        <v>7.0000000000000007E-2</v>
      </c>
    </row>
    <row r="274" spans="1:10" x14ac:dyDescent="0.3">
      <c r="A274" s="21" t="s">
        <v>305</v>
      </c>
      <c r="B274" s="22">
        <f t="shared" si="12"/>
        <v>0</v>
      </c>
      <c r="C274" s="22" t="str">
        <f t="shared" si="13"/>
        <v>Boyacá</v>
      </c>
      <c r="D274" s="22" t="str">
        <f t="shared" si="14"/>
        <v>Miraflores, Boyacá</v>
      </c>
      <c r="E274" s="23">
        <v>15455</v>
      </c>
      <c r="F274" s="37">
        <v>0.25</v>
      </c>
      <c r="G274" s="24">
        <v>0.25</v>
      </c>
      <c r="H274" s="24" t="s">
        <v>39</v>
      </c>
      <c r="I274" s="24">
        <v>0.16</v>
      </c>
      <c r="J274" s="25">
        <v>0.08</v>
      </c>
    </row>
    <row r="275" spans="1:10" x14ac:dyDescent="0.3">
      <c r="A275" s="21" t="s">
        <v>306</v>
      </c>
      <c r="B275" s="22">
        <f t="shared" si="12"/>
        <v>0</v>
      </c>
      <c r="C275" s="22" t="str">
        <f t="shared" si="13"/>
        <v>Boyacá</v>
      </c>
      <c r="D275" s="22" t="str">
        <f t="shared" si="14"/>
        <v>Mongua, Boyacá</v>
      </c>
      <c r="E275" s="23">
        <v>15464</v>
      </c>
      <c r="F275" s="24">
        <v>0.25</v>
      </c>
      <c r="G275" s="24">
        <v>0.3</v>
      </c>
      <c r="H275" s="24" t="s">
        <v>39</v>
      </c>
      <c r="I275" s="24">
        <v>0.16</v>
      </c>
      <c r="J275" s="25">
        <v>0.08</v>
      </c>
    </row>
    <row r="276" spans="1:10" x14ac:dyDescent="0.3">
      <c r="A276" s="21" t="s">
        <v>307</v>
      </c>
      <c r="B276" s="22">
        <f t="shared" si="12"/>
        <v>0</v>
      </c>
      <c r="C276" s="22" t="str">
        <f t="shared" si="13"/>
        <v>Boyacá</v>
      </c>
      <c r="D276" s="22" t="str">
        <f t="shared" si="14"/>
        <v>Monguí, Boyacá</v>
      </c>
      <c r="E276" s="23">
        <v>15466</v>
      </c>
      <c r="F276" s="24">
        <v>0.25</v>
      </c>
      <c r="G276" s="24">
        <v>0.25</v>
      </c>
      <c r="H276" s="24" t="s">
        <v>39</v>
      </c>
      <c r="I276" s="24">
        <v>0.16</v>
      </c>
      <c r="J276" s="25">
        <v>0.08</v>
      </c>
    </row>
    <row r="277" spans="1:10" x14ac:dyDescent="0.3">
      <c r="A277" s="21" t="s">
        <v>308</v>
      </c>
      <c r="B277" s="22">
        <f t="shared" si="12"/>
        <v>0</v>
      </c>
      <c r="C277" s="22" t="str">
        <f t="shared" si="13"/>
        <v>Boyacá</v>
      </c>
      <c r="D277" s="22" t="str">
        <f t="shared" si="14"/>
        <v>Moniquirá, Boyacá</v>
      </c>
      <c r="E277" s="23">
        <v>15469</v>
      </c>
      <c r="F277" s="24">
        <v>0.15</v>
      </c>
      <c r="G277" s="24">
        <v>0.2</v>
      </c>
      <c r="H277" s="24" t="s">
        <v>36</v>
      </c>
      <c r="I277" s="24">
        <v>0.1</v>
      </c>
      <c r="J277" s="25">
        <v>0.06</v>
      </c>
    </row>
    <row r="278" spans="1:10" x14ac:dyDescent="0.3">
      <c r="A278" s="21" t="s">
        <v>309</v>
      </c>
      <c r="B278" s="22">
        <f t="shared" si="12"/>
        <v>0</v>
      </c>
      <c r="C278" s="22" t="str">
        <f t="shared" si="13"/>
        <v>Boyacá</v>
      </c>
      <c r="D278" s="22" t="str">
        <f t="shared" si="14"/>
        <v>Motavita, Boyacá</v>
      </c>
      <c r="E278" s="23">
        <v>15476</v>
      </c>
      <c r="F278" s="24">
        <v>0.2</v>
      </c>
      <c r="G278" s="24">
        <v>0.2</v>
      </c>
      <c r="H278" s="24" t="s">
        <v>36</v>
      </c>
      <c r="I278" s="24">
        <v>0.11</v>
      </c>
      <c r="J278" s="25">
        <v>0.05</v>
      </c>
    </row>
    <row r="279" spans="1:10" x14ac:dyDescent="0.3">
      <c r="A279" s="21" t="s">
        <v>310</v>
      </c>
      <c r="B279" s="22">
        <f t="shared" si="12"/>
        <v>0</v>
      </c>
      <c r="C279" s="22" t="str">
        <f t="shared" si="13"/>
        <v>Boyacá</v>
      </c>
      <c r="D279" s="22" t="str">
        <f t="shared" si="14"/>
        <v>Muzo, Boyacá</v>
      </c>
      <c r="E279" s="23">
        <v>15480</v>
      </c>
      <c r="F279" s="24">
        <v>0.15</v>
      </c>
      <c r="G279" s="24">
        <v>0.15</v>
      </c>
      <c r="H279" s="24" t="s">
        <v>36</v>
      </c>
      <c r="I279" s="24">
        <v>0.15</v>
      </c>
      <c r="J279" s="25">
        <v>0.08</v>
      </c>
    </row>
    <row r="280" spans="1:10" x14ac:dyDescent="0.3">
      <c r="A280" s="21" t="s">
        <v>311</v>
      </c>
      <c r="B280" s="22">
        <f t="shared" si="12"/>
        <v>0</v>
      </c>
      <c r="C280" s="22" t="str">
        <f t="shared" si="13"/>
        <v>Boyacá</v>
      </c>
      <c r="D280" s="22" t="str">
        <f t="shared" si="14"/>
        <v>Nobsa, Boyacá</v>
      </c>
      <c r="E280" s="23">
        <v>15491</v>
      </c>
      <c r="F280" s="24">
        <v>0.25</v>
      </c>
      <c r="G280" s="24">
        <v>0.25</v>
      </c>
      <c r="H280" s="24" t="s">
        <v>39</v>
      </c>
      <c r="I280" s="24">
        <v>0.16</v>
      </c>
      <c r="J280" s="25">
        <v>0.08</v>
      </c>
    </row>
    <row r="281" spans="1:10" x14ac:dyDescent="0.3">
      <c r="A281" s="21" t="s">
        <v>312</v>
      </c>
      <c r="B281" s="22">
        <f t="shared" si="12"/>
        <v>0</v>
      </c>
      <c r="C281" s="22" t="str">
        <f t="shared" si="13"/>
        <v>Boyacá</v>
      </c>
      <c r="D281" s="22" t="str">
        <f t="shared" si="14"/>
        <v>Nuevo Colón, Boyacá</v>
      </c>
      <c r="E281" s="23">
        <v>15494</v>
      </c>
      <c r="F281" s="24">
        <v>0.2</v>
      </c>
      <c r="G281" s="24">
        <v>0.2</v>
      </c>
      <c r="H281" s="24" t="s">
        <v>36</v>
      </c>
      <c r="I281" s="24">
        <v>0.13</v>
      </c>
      <c r="J281" s="25">
        <v>0.06</v>
      </c>
    </row>
    <row r="282" spans="1:10" x14ac:dyDescent="0.3">
      <c r="A282" s="21" t="s">
        <v>313</v>
      </c>
      <c r="B282" s="22">
        <f t="shared" si="12"/>
        <v>0</v>
      </c>
      <c r="C282" s="22" t="str">
        <f t="shared" si="13"/>
        <v>Boyacá</v>
      </c>
      <c r="D282" s="22" t="str">
        <f t="shared" si="14"/>
        <v>Oicatá, Boyacá</v>
      </c>
      <c r="E282" s="23">
        <v>15500</v>
      </c>
      <c r="F282" s="24">
        <v>0.2</v>
      </c>
      <c r="G282" s="37">
        <v>0.2</v>
      </c>
      <c r="H282" s="24" t="s">
        <v>36</v>
      </c>
      <c r="I282" s="24">
        <v>0.13</v>
      </c>
      <c r="J282" s="25">
        <v>0.06</v>
      </c>
    </row>
    <row r="283" spans="1:10" x14ac:dyDescent="0.3">
      <c r="A283" s="21" t="s">
        <v>314</v>
      </c>
      <c r="B283" s="22">
        <f t="shared" si="12"/>
        <v>0</v>
      </c>
      <c r="C283" s="22" t="str">
        <f t="shared" si="13"/>
        <v>Boyacá</v>
      </c>
      <c r="D283" s="22" t="str">
        <f t="shared" si="14"/>
        <v>Otanche, Boyacá</v>
      </c>
      <c r="E283" s="23">
        <v>15507</v>
      </c>
      <c r="F283" s="24">
        <v>0.15</v>
      </c>
      <c r="G283" s="24">
        <v>0.15</v>
      </c>
      <c r="H283" s="24" t="s">
        <v>36</v>
      </c>
      <c r="I283" s="24">
        <v>0.16</v>
      </c>
      <c r="J283" s="25">
        <v>0.08</v>
      </c>
    </row>
    <row r="284" spans="1:10" x14ac:dyDescent="0.3">
      <c r="A284" s="21" t="s">
        <v>315</v>
      </c>
      <c r="B284" s="22">
        <f t="shared" si="12"/>
        <v>0</v>
      </c>
      <c r="C284" s="22" t="str">
        <f t="shared" si="13"/>
        <v>Boyacá</v>
      </c>
      <c r="D284" s="22" t="str">
        <f t="shared" si="14"/>
        <v>Pachavita, Boyacá</v>
      </c>
      <c r="E284" s="23">
        <v>15511</v>
      </c>
      <c r="F284" s="37">
        <v>0.2</v>
      </c>
      <c r="G284" s="24">
        <v>0.25</v>
      </c>
      <c r="H284" s="24" t="s">
        <v>39</v>
      </c>
      <c r="I284" s="24">
        <v>0.16</v>
      </c>
      <c r="J284" s="25">
        <v>7.0000000000000007E-2</v>
      </c>
    </row>
    <row r="285" spans="1:10" x14ac:dyDescent="0.3">
      <c r="A285" s="21" t="s">
        <v>316</v>
      </c>
      <c r="B285" s="22">
        <f t="shared" si="12"/>
        <v>0</v>
      </c>
      <c r="C285" s="22" t="str">
        <f t="shared" si="13"/>
        <v>Boyacá</v>
      </c>
      <c r="D285" s="22" t="str">
        <f t="shared" si="14"/>
        <v>Páez, Boyacá</v>
      </c>
      <c r="E285" s="23">
        <v>15514</v>
      </c>
      <c r="F285" s="24">
        <v>0.3</v>
      </c>
      <c r="G285" s="37">
        <v>0.3</v>
      </c>
      <c r="H285" s="24" t="s">
        <v>39</v>
      </c>
      <c r="I285" s="24">
        <v>0.16</v>
      </c>
      <c r="J285" s="25">
        <v>0.08</v>
      </c>
    </row>
    <row r="286" spans="1:10" x14ac:dyDescent="0.3">
      <c r="A286" s="21" t="s">
        <v>317</v>
      </c>
      <c r="B286" s="22">
        <f t="shared" si="12"/>
        <v>0</v>
      </c>
      <c r="C286" s="22" t="str">
        <f t="shared" si="13"/>
        <v>Boyacá</v>
      </c>
      <c r="D286" s="22" t="str">
        <f t="shared" si="14"/>
        <v>Paipa, Boyacá</v>
      </c>
      <c r="E286" s="23">
        <v>15516</v>
      </c>
      <c r="F286" s="24">
        <v>0.2</v>
      </c>
      <c r="G286" s="24">
        <v>0.25</v>
      </c>
      <c r="H286" s="24" t="s">
        <v>39</v>
      </c>
      <c r="I286" s="24">
        <v>0.12</v>
      </c>
      <c r="J286" s="25">
        <v>0.06</v>
      </c>
    </row>
    <row r="287" spans="1:10" x14ac:dyDescent="0.3">
      <c r="A287" s="21" t="s">
        <v>318</v>
      </c>
      <c r="B287" s="22">
        <f t="shared" si="12"/>
        <v>0</v>
      </c>
      <c r="C287" s="22" t="str">
        <f t="shared" si="13"/>
        <v>Boyacá</v>
      </c>
      <c r="D287" s="22" t="str">
        <f t="shared" si="14"/>
        <v>Pajarito, Boyacá</v>
      </c>
      <c r="E287" s="23">
        <v>15518</v>
      </c>
      <c r="F287" s="24">
        <v>0.3</v>
      </c>
      <c r="G287" s="24">
        <v>0.25</v>
      </c>
      <c r="H287" s="24" t="s">
        <v>39</v>
      </c>
      <c r="I287" s="24">
        <v>0.16</v>
      </c>
      <c r="J287" s="25">
        <v>0.08</v>
      </c>
    </row>
    <row r="288" spans="1:10" x14ac:dyDescent="0.3">
      <c r="A288" s="21" t="s">
        <v>319</v>
      </c>
      <c r="B288" s="22">
        <f t="shared" si="12"/>
        <v>0</v>
      </c>
      <c r="C288" s="22" t="str">
        <f t="shared" si="13"/>
        <v>Boyacá</v>
      </c>
      <c r="D288" s="22" t="str">
        <f t="shared" si="14"/>
        <v>Panqueba, Boyacá</v>
      </c>
      <c r="E288" s="23">
        <v>15522</v>
      </c>
      <c r="F288" s="24">
        <v>0.25</v>
      </c>
      <c r="G288" s="24">
        <v>0.3</v>
      </c>
      <c r="H288" s="24" t="s">
        <v>39</v>
      </c>
      <c r="I288" s="24">
        <v>0.16</v>
      </c>
      <c r="J288" s="25">
        <v>0.08</v>
      </c>
    </row>
    <row r="289" spans="1:10" x14ac:dyDescent="0.3">
      <c r="A289" s="21" t="s">
        <v>320</v>
      </c>
      <c r="B289" s="22">
        <f t="shared" si="12"/>
        <v>0</v>
      </c>
      <c r="C289" s="22" t="str">
        <f t="shared" si="13"/>
        <v>Boyacá</v>
      </c>
      <c r="D289" s="22" t="str">
        <f t="shared" si="14"/>
        <v>Pauna, Boyacá</v>
      </c>
      <c r="E289" s="23">
        <v>15531</v>
      </c>
      <c r="F289" s="24">
        <v>0.15</v>
      </c>
      <c r="G289" s="24">
        <v>0.15</v>
      </c>
      <c r="H289" s="24" t="s">
        <v>36</v>
      </c>
      <c r="I289" s="24">
        <v>0.15</v>
      </c>
      <c r="J289" s="25">
        <v>7.0000000000000007E-2</v>
      </c>
    </row>
    <row r="290" spans="1:10" x14ac:dyDescent="0.3">
      <c r="A290" s="21" t="s">
        <v>321</v>
      </c>
      <c r="B290" s="22">
        <f t="shared" si="12"/>
        <v>0</v>
      </c>
      <c r="C290" s="22" t="str">
        <f t="shared" si="13"/>
        <v>Boyacá</v>
      </c>
      <c r="D290" s="22" t="str">
        <f t="shared" si="14"/>
        <v>Paya, Boyacá</v>
      </c>
      <c r="E290" s="23">
        <v>15533</v>
      </c>
      <c r="F290" s="24">
        <v>0.35</v>
      </c>
      <c r="G290" s="24">
        <v>0.25</v>
      </c>
      <c r="H290" s="24" t="s">
        <v>39</v>
      </c>
      <c r="I290" s="24">
        <v>0.16</v>
      </c>
      <c r="J290" s="25">
        <v>0.08</v>
      </c>
    </row>
    <row r="291" spans="1:10" x14ac:dyDescent="0.3">
      <c r="A291" s="21" t="s">
        <v>322</v>
      </c>
      <c r="B291" s="22">
        <f t="shared" si="12"/>
        <v>0</v>
      </c>
      <c r="C291" s="22" t="str">
        <f t="shared" si="13"/>
        <v>Boyacá</v>
      </c>
      <c r="D291" s="22" t="str">
        <f t="shared" si="14"/>
        <v>Paz De Río, Boyacá</v>
      </c>
      <c r="E291" s="23">
        <v>15537</v>
      </c>
      <c r="F291" s="24">
        <v>0.25</v>
      </c>
      <c r="G291" s="24">
        <v>0.25</v>
      </c>
      <c r="H291" s="24" t="s">
        <v>39</v>
      </c>
      <c r="I291" s="24">
        <v>0.16</v>
      </c>
      <c r="J291" s="25">
        <v>0.08</v>
      </c>
    </row>
    <row r="292" spans="1:10" x14ac:dyDescent="0.3">
      <c r="A292" s="21" t="s">
        <v>323</v>
      </c>
      <c r="B292" s="22">
        <f t="shared" si="12"/>
        <v>0</v>
      </c>
      <c r="C292" s="22" t="str">
        <f t="shared" si="13"/>
        <v>Boyacá</v>
      </c>
      <c r="D292" s="22" t="str">
        <f t="shared" si="14"/>
        <v>Pesca, Boyacá</v>
      </c>
      <c r="E292" s="23">
        <v>15542</v>
      </c>
      <c r="F292" s="24">
        <v>0.2</v>
      </c>
      <c r="G292" s="24">
        <v>0.25</v>
      </c>
      <c r="H292" s="24" t="s">
        <v>39</v>
      </c>
      <c r="I292" s="24">
        <v>0.16</v>
      </c>
      <c r="J292" s="25">
        <v>0.08</v>
      </c>
    </row>
    <row r="293" spans="1:10" x14ac:dyDescent="0.3">
      <c r="A293" s="21" t="s">
        <v>324</v>
      </c>
      <c r="B293" s="22">
        <f t="shared" si="12"/>
        <v>0</v>
      </c>
      <c r="C293" s="22" t="str">
        <f t="shared" si="13"/>
        <v>Boyacá</v>
      </c>
      <c r="D293" s="22" t="str">
        <f t="shared" si="14"/>
        <v>Pisba, Boyacá</v>
      </c>
      <c r="E293" s="23">
        <v>15550</v>
      </c>
      <c r="F293" s="24">
        <v>0.3</v>
      </c>
      <c r="G293" s="24">
        <v>0.25</v>
      </c>
      <c r="H293" s="24" t="s">
        <v>39</v>
      </c>
      <c r="I293" s="24">
        <v>0.16</v>
      </c>
      <c r="J293" s="25">
        <v>0.08</v>
      </c>
    </row>
    <row r="294" spans="1:10" x14ac:dyDescent="0.3">
      <c r="A294" s="21" t="s">
        <v>325</v>
      </c>
      <c r="B294" s="22">
        <f t="shared" si="12"/>
        <v>0</v>
      </c>
      <c r="C294" s="22" t="str">
        <f t="shared" si="13"/>
        <v>Boyacá</v>
      </c>
      <c r="D294" s="22" t="str">
        <f t="shared" si="14"/>
        <v>Puerto Boyacá, Boyacá</v>
      </c>
      <c r="E294" s="23">
        <v>15572</v>
      </c>
      <c r="F294" s="24">
        <v>0.15</v>
      </c>
      <c r="G294" s="24">
        <v>0.15</v>
      </c>
      <c r="H294" s="24" t="s">
        <v>36</v>
      </c>
      <c r="I294" s="24">
        <v>0.1</v>
      </c>
      <c r="J294" s="25">
        <v>0.05</v>
      </c>
    </row>
    <row r="295" spans="1:10" x14ac:dyDescent="0.3">
      <c r="A295" s="21" t="s">
        <v>326</v>
      </c>
      <c r="B295" s="22">
        <f t="shared" si="12"/>
        <v>0</v>
      </c>
      <c r="C295" s="22" t="str">
        <f t="shared" si="13"/>
        <v>Boyacá</v>
      </c>
      <c r="D295" s="22" t="str">
        <f t="shared" si="14"/>
        <v>Quipama, Boyacá</v>
      </c>
      <c r="E295" s="23">
        <v>15580</v>
      </c>
      <c r="F295" s="24">
        <v>0.15</v>
      </c>
      <c r="G295" s="24">
        <v>0.15</v>
      </c>
      <c r="H295" s="24" t="s">
        <v>36</v>
      </c>
      <c r="I295" s="24">
        <v>0.16</v>
      </c>
      <c r="J295" s="25">
        <v>0.08</v>
      </c>
    </row>
    <row r="296" spans="1:10" x14ac:dyDescent="0.3">
      <c r="A296" s="21" t="s">
        <v>327</v>
      </c>
      <c r="B296" s="22">
        <f t="shared" si="12"/>
        <v>0</v>
      </c>
      <c r="C296" s="22" t="str">
        <f t="shared" si="13"/>
        <v>Boyacá</v>
      </c>
      <c r="D296" s="22" t="str">
        <f t="shared" si="14"/>
        <v>Ramiriquí, Boyacá</v>
      </c>
      <c r="E296" s="23">
        <v>15599</v>
      </c>
      <c r="F296" s="24">
        <v>0.2</v>
      </c>
      <c r="G296" s="24">
        <v>0.25</v>
      </c>
      <c r="H296" s="24" t="s">
        <v>39</v>
      </c>
      <c r="I296" s="24">
        <v>0.16</v>
      </c>
      <c r="J296" s="25">
        <v>0.08</v>
      </c>
    </row>
    <row r="297" spans="1:10" x14ac:dyDescent="0.3">
      <c r="A297" s="21" t="s">
        <v>328</v>
      </c>
      <c r="B297" s="22">
        <f t="shared" si="12"/>
        <v>0</v>
      </c>
      <c r="C297" s="22" t="str">
        <f t="shared" si="13"/>
        <v>Boyacá</v>
      </c>
      <c r="D297" s="22" t="str">
        <f t="shared" si="14"/>
        <v>Ráquira, Boyacá</v>
      </c>
      <c r="E297" s="23">
        <v>15600</v>
      </c>
      <c r="F297" s="37">
        <v>0.15</v>
      </c>
      <c r="G297" s="24">
        <v>0.2</v>
      </c>
      <c r="H297" s="24" t="s">
        <v>36</v>
      </c>
      <c r="I297" s="24">
        <v>0.09</v>
      </c>
      <c r="J297" s="25">
        <v>0.05</v>
      </c>
    </row>
    <row r="298" spans="1:10" x14ac:dyDescent="0.3">
      <c r="A298" s="21" t="s">
        <v>329</v>
      </c>
      <c r="B298" s="22">
        <f t="shared" si="12"/>
        <v>0</v>
      </c>
      <c r="C298" s="22" t="str">
        <f t="shared" si="13"/>
        <v>Boyacá</v>
      </c>
      <c r="D298" s="22" t="str">
        <f t="shared" si="14"/>
        <v>Rondón, Boyacá</v>
      </c>
      <c r="E298" s="23">
        <v>15621</v>
      </c>
      <c r="F298" s="24">
        <v>0.2</v>
      </c>
      <c r="G298" s="24">
        <v>0.25</v>
      </c>
      <c r="H298" s="24" t="s">
        <v>39</v>
      </c>
      <c r="I298" s="24">
        <v>0.16</v>
      </c>
      <c r="J298" s="25">
        <v>0.08</v>
      </c>
    </row>
    <row r="299" spans="1:10" x14ac:dyDescent="0.3">
      <c r="A299" s="21" t="s">
        <v>330</v>
      </c>
      <c r="B299" s="22">
        <f t="shared" si="12"/>
        <v>0</v>
      </c>
      <c r="C299" s="22" t="str">
        <f t="shared" si="13"/>
        <v>Boyacá</v>
      </c>
      <c r="D299" s="22" t="str">
        <f t="shared" si="14"/>
        <v>Saboyá, Boyacá</v>
      </c>
      <c r="E299" s="23">
        <v>15632</v>
      </c>
      <c r="F299" s="24">
        <v>0.15</v>
      </c>
      <c r="G299" s="24">
        <v>0.2</v>
      </c>
      <c r="H299" s="24" t="s">
        <v>36</v>
      </c>
      <c r="I299" s="24">
        <v>0.1</v>
      </c>
      <c r="J299" s="25">
        <v>0.06</v>
      </c>
    </row>
    <row r="300" spans="1:10" x14ac:dyDescent="0.3">
      <c r="A300" s="21" t="s">
        <v>331</v>
      </c>
      <c r="B300" s="22">
        <f t="shared" si="12"/>
        <v>0</v>
      </c>
      <c r="C300" s="22" t="str">
        <f t="shared" si="13"/>
        <v>Boyacá</v>
      </c>
      <c r="D300" s="22" t="str">
        <f t="shared" si="14"/>
        <v>Sáchica, Boyacá</v>
      </c>
      <c r="E300" s="23">
        <v>15638</v>
      </c>
      <c r="F300" s="24">
        <v>0.2</v>
      </c>
      <c r="G300" s="24">
        <v>0.2</v>
      </c>
      <c r="H300" s="24" t="s">
        <v>36</v>
      </c>
      <c r="I300" s="24">
        <v>0.09</v>
      </c>
      <c r="J300" s="25">
        <v>0.05</v>
      </c>
    </row>
    <row r="301" spans="1:10" x14ac:dyDescent="0.3">
      <c r="A301" s="21" t="s">
        <v>332</v>
      </c>
      <c r="B301" s="22">
        <f t="shared" si="12"/>
        <v>0</v>
      </c>
      <c r="C301" s="22" t="str">
        <f t="shared" si="13"/>
        <v>Boyacá</v>
      </c>
      <c r="D301" s="22" t="str">
        <f t="shared" si="14"/>
        <v>Samacá, Boyacá</v>
      </c>
      <c r="E301" s="23">
        <v>15646</v>
      </c>
      <c r="F301" s="24">
        <v>0.2</v>
      </c>
      <c r="G301" s="24">
        <v>0.2</v>
      </c>
      <c r="H301" s="24" t="s">
        <v>36</v>
      </c>
      <c r="I301" s="24">
        <v>0.1</v>
      </c>
      <c r="J301" s="25">
        <v>0.05</v>
      </c>
    </row>
    <row r="302" spans="1:10" x14ac:dyDescent="0.3">
      <c r="A302" s="21" t="s">
        <v>333</v>
      </c>
      <c r="B302" s="22">
        <f t="shared" si="12"/>
        <v>0</v>
      </c>
      <c r="C302" s="22" t="str">
        <f t="shared" si="13"/>
        <v>Boyacá</v>
      </c>
      <c r="D302" s="22" t="str">
        <f t="shared" si="14"/>
        <v>San Eduardo, Boyacá</v>
      </c>
      <c r="E302" s="23">
        <v>15660</v>
      </c>
      <c r="F302" s="24">
        <v>0.25</v>
      </c>
      <c r="G302" s="24">
        <v>0.25</v>
      </c>
      <c r="H302" s="24" t="s">
        <v>39</v>
      </c>
      <c r="I302" s="24">
        <v>0.16</v>
      </c>
      <c r="J302" s="25">
        <v>0.08</v>
      </c>
    </row>
    <row r="303" spans="1:10" x14ac:dyDescent="0.3">
      <c r="A303" s="21" t="s">
        <v>334</v>
      </c>
      <c r="B303" s="22">
        <f t="shared" si="12"/>
        <v>0</v>
      </c>
      <c r="C303" s="22" t="str">
        <f t="shared" si="13"/>
        <v>Boyacá</v>
      </c>
      <c r="D303" s="22" t="str">
        <f t="shared" si="14"/>
        <v>San José De Pare, Boyacá</v>
      </c>
      <c r="E303" s="23">
        <v>15664</v>
      </c>
      <c r="F303" s="24">
        <v>0.15</v>
      </c>
      <c r="G303" s="24">
        <v>0.2</v>
      </c>
      <c r="H303" s="24" t="s">
        <v>36</v>
      </c>
      <c r="I303" s="24">
        <v>0.11</v>
      </c>
      <c r="J303" s="25">
        <v>0.06</v>
      </c>
    </row>
    <row r="304" spans="1:10" x14ac:dyDescent="0.3">
      <c r="A304" s="21" t="s">
        <v>335</v>
      </c>
      <c r="B304" s="22">
        <f t="shared" si="12"/>
        <v>0</v>
      </c>
      <c r="C304" s="22" t="str">
        <f t="shared" si="13"/>
        <v>Boyacá</v>
      </c>
      <c r="D304" s="22" t="str">
        <f t="shared" si="14"/>
        <v>San Luis De Gaceno, Boyacá</v>
      </c>
      <c r="E304" s="23">
        <v>15667</v>
      </c>
      <c r="F304" s="24">
        <v>0.35</v>
      </c>
      <c r="G304" s="24">
        <v>0.3</v>
      </c>
      <c r="H304" s="24" t="s">
        <v>39</v>
      </c>
      <c r="I304" s="24">
        <v>0.16</v>
      </c>
      <c r="J304" s="25">
        <v>7.0000000000000007E-2</v>
      </c>
    </row>
    <row r="305" spans="1:10" x14ac:dyDescent="0.3">
      <c r="A305" s="21" t="s">
        <v>336</v>
      </c>
      <c r="B305" s="22">
        <f t="shared" si="12"/>
        <v>0</v>
      </c>
      <c r="C305" s="22" t="str">
        <f t="shared" si="13"/>
        <v>Boyacá</v>
      </c>
      <c r="D305" s="22" t="str">
        <f t="shared" si="14"/>
        <v>San Mateo, Boyacá</v>
      </c>
      <c r="E305" s="23">
        <v>15673</v>
      </c>
      <c r="F305" s="24">
        <v>0.25</v>
      </c>
      <c r="G305" s="24">
        <v>0.25</v>
      </c>
      <c r="H305" s="24" t="s">
        <v>39</v>
      </c>
      <c r="I305" s="24">
        <v>0.16</v>
      </c>
      <c r="J305" s="25">
        <v>0.08</v>
      </c>
    </row>
    <row r="306" spans="1:10" x14ac:dyDescent="0.3">
      <c r="A306" s="21" t="s">
        <v>337</v>
      </c>
      <c r="B306" s="22">
        <f t="shared" si="12"/>
        <v>0</v>
      </c>
      <c r="C306" s="22" t="str">
        <f t="shared" si="13"/>
        <v>Boyacá</v>
      </c>
      <c r="D306" s="22" t="str">
        <f t="shared" si="14"/>
        <v>San Miguel de Sema, Boyacá</v>
      </c>
      <c r="E306" s="23">
        <v>15676</v>
      </c>
      <c r="F306" s="24">
        <v>0.15</v>
      </c>
      <c r="G306" s="24">
        <v>0.2</v>
      </c>
      <c r="H306" s="24" t="s">
        <v>36</v>
      </c>
      <c r="I306" s="24">
        <v>0.09</v>
      </c>
      <c r="J306" s="25">
        <v>0.05</v>
      </c>
    </row>
    <row r="307" spans="1:10" x14ac:dyDescent="0.3">
      <c r="A307" s="21" t="s">
        <v>338</v>
      </c>
      <c r="B307" s="22">
        <f t="shared" si="12"/>
        <v>0</v>
      </c>
      <c r="C307" s="22" t="str">
        <f t="shared" si="13"/>
        <v>Boyacá</v>
      </c>
      <c r="D307" s="22" t="str">
        <f t="shared" si="14"/>
        <v>San Pablo Borbur, Boyacá</v>
      </c>
      <c r="E307" s="23">
        <v>15681</v>
      </c>
      <c r="F307" s="24">
        <v>0.15</v>
      </c>
      <c r="G307" s="24">
        <v>0.15</v>
      </c>
      <c r="H307" s="24" t="s">
        <v>36</v>
      </c>
      <c r="I307" s="24">
        <v>0.16</v>
      </c>
      <c r="J307" s="25">
        <v>0.08</v>
      </c>
    </row>
    <row r="308" spans="1:10" x14ac:dyDescent="0.3">
      <c r="A308" s="21" t="s">
        <v>339</v>
      </c>
      <c r="B308" s="22">
        <f t="shared" si="12"/>
        <v>0</v>
      </c>
      <c r="C308" s="22" t="str">
        <f t="shared" si="13"/>
        <v>Boyacá</v>
      </c>
      <c r="D308" s="22" t="str">
        <f t="shared" si="14"/>
        <v>San Rosa Viterbo, Boyacá</v>
      </c>
      <c r="E308" s="23">
        <v>15693</v>
      </c>
      <c r="F308" s="24">
        <v>0.2</v>
      </c>
      <c r="G308" s="24">
        <v>0.25</v>
      </c>
      <c r="H308" s="24" t="s">
        <v>39</v>
      </c>
      <c r="I308" s="24">
        <v>0.16</v>
      </c>
      <c r="J308" s="25">
        <v>0.08</v>
      </c>
    </row>
    <row r="309" spans="1:10" x14ac:dyDescent="0.3">
      <c r="A309" s="21" t="s">
        <v>340</v>
      </c>
      <c r="B309" s="22">
        <f t="shared" si="12"/>
        <v>0</v>
      </c>
      <c r="C309" s="22" t="str">
        <f t="shared" si="13"/>
        <v>Boyacá</v>
      </c>
      <c r="D309" s="22" t="str">
        <f t="shared" si="14"/>
        <v>Santa María, Boyacá</v>
      </c>
      <c r="E309" s="23">
        <v>15690</v>
      </c>
      <c r="F309" s="24">
        <v>0.3</v>
      </c>
      <c r="G309" s="24">
        <v>0.25</v>
      </c>
      <c r="H309" s="24" t="s">
        <v>39</v>
      </c>
      <c r="I309" s="24">
        <v>0.16</v>
      </c>
      <c r="J309" s="25">
        <v>0.08</v>
      </c>
    </row>
    <row r="310" spans="1:10" x14ac:dyDescent="0.3">
      <c r="A310" s="21" t="s">
        <v>341</v>
      </c>
      <c r="B310" s="22">
        <f t="shared" si="12"/>
        <v>0</v>
      </c>
      <c r="C310" s="22" t="str">
        <f t="shared" si="13"/>
        <v>Boyacá</v>
      </c>
      <c r="D310" s="22" t="str">
        <f t="shared" si="14"/>
        <v>Santa Sofía, Boyacá</v>
      </c>
      <c r="E310" s="23">
        <v>15696</v>
      </c>
      <c r="F310" s="24">
        <v>0.15</v>
      </c>
      <c r="G310" s="24">
        <v>0.2</v>
      </c>
      <c r="H310" s="24" t="s">
        <v>36</v>
      </c>
      <c r="I310" s="24">
        <v>0.09</v>
      </c>
      <c r="J310" s="25">
        <v>0.05</v>
      </c>
    </row>
    <row r="311" spans="1:10" x14ac:dyDescent="0.3">
      <c r="A311" s="21" t="s">
        <v>342</v>
      </c>
      <c r="B311" s="22">
        <f t="shared" si="12"/>
        <v>0</v>
      </c>
      <c r="C311" s="22" t="str">
        <f t="shared" si="13"/>
        <v>Boyacá</v>
      </c>
      <c r="D311" s="22" t="str">
        <f t="shared" si="14"/>
        <v>Santana, Boyacá</v>
      </c>
      <c r="E311" s="23">
        <v>15686</v>
      </c>
      <c r="F311" s="24">
        <v>0.15</v>
      </c>
      <c r="G311" s="24">
        <v>0.2</v>
      </c>
      <c r="H311" s="24" t="s">
        <v>36</v>
      </c>
      <c r="I311" s="24">
        <v>0.13</v>
      </c>
      <c r="J311" s="25">
        <v>7.0000000000000007E-2</v>
      </c>
    </row>
    <row r="312" spans="1:10" x14ac:dyDescent="0.3">
      <c r="A312" s="21" t="s">
        <v>343</v>
      </c>
      <c r="B312" s="22">
        <f t="shared" si="12"/>
        <v>0</v>
      </c>
      <c r="C312" s="22" t="str">
        <f t="shared" si="13"/>
        <v>Boyacá</v>
      </c>
      <c r="D312" s="22" t="str">
        <f t="shared" si="14"/>
        <v>Sativanorte, Boyacá</v>
      </c>
      <c r="E312" s="23">
        <v>15720</v>
      </c>
      <c r="F312" s="24">
        <v>0.25</v>
      </c>
      <c r="G312" s="24">
        <v>0.25</v>
      </c>
      <c r="H312" s="24" t="s">
        <v>39</v>
      </c>
      <c r="I312" s="24">
        <v>0.16</v>
      </c>
      <c r="J312" s="25">
        <v>0.08</v>
      </c>
    </row>
    <row r="313" spans="1:10" x14ac:dyDescent="0.3">
      <c r="A313" s="21" t="s">
        <v>344</v>
      </c>
      <c r="B313" s="22">
        <f t="shared" si="12"/>
        <v>0</v>
      </c>
      <c r="C313" s="22" t="str">
        <f t="shared" si="13"/>
        <v>Boyacá</v>
      </c>
      <c r="D313" s="22" t="str">
        <f t="shared" si="14"/>
        <v>Sativasur, Boyacá</v>
      </c>
      <c r="E313" s="23">
        <v>15723</v>
      </c>
      <c r="F313" s="24">
        <v>0.25</v>
      </c>
      <c r="G313" s="24">
        <v>0.25</v>
      </c>
      <c r="H313" s="24" t="s">
        <v>39</v>
      </c>
      <c r="I313" s="24">
        <v>0.16</v>
      </c>
      <c r="J313" s="25">
        <v>0.08</v>
      </c>
    </row>
    <row r="314" spans="1:10" x14ac:dyDescent="0.3">
      <c r="A314" s="21" t="s">
        <v>345</v>
      </c>
      <c r="B314" s="22">
        <f t="shared" si="12"/>
        <v>0</v>
      </c>
      <c r="C314" s="22" t="str">
        <f t="shared" si="13"/>
        <v>Boyacá</v>
      </c>
      <c r="D314" s="22" t="str">
        <f t="shared" si="14"/>
        <v>Siachoque, Boyacá</v>
      </c>
      <c r="E314" s="23">
        <v>15740</v>
      </c>
      <c r="F314" s="37">
        <v>0.2</v>
      </c>
      <c r="G314" s="24">
        <v>0.25</v>
      </c>
      <c r="H314" s="24" t="s">
        <v>39</v>
      </c>
      <c r="I314" s="24">
        <v>0.16</v>
      </c>
      <c r="J314" s="25">
        <v>0.08</v>
      </c>
    </row>
    <row r="315" spans="1:10" x14ac:dyDescent="0.3">
      <c r="A315" s="21" t="s">
        <v>346</v>
      </c>
      <c r="B315" s="22">
        <f t="shared" si="12"/>
        <v>0</v>
      </c>
      <c r="C315" s="22" t="str">
        <f t="shared" si="13"/>
        <v>Boyacá</v>
      </c>
      <c r="D315" s="22" t="str">
        <f t="shared" si="14"/>
        <v>Soatá, Boyacá</v>
      </c>
      <c r="E315" s="23">
        <v>15753</v>
      </c>
      <c r="F315" s="24">
        <v>0.25</v>
      </c>
      <c r="G315" s="24">
        <v>0.25</v>
      </c>
      <c r="H315" s="24" t="s">
        <v>39</v>
      </c>
      <c r="I315" s="24">
        <v>0.16</v>
      </c>
      <c r="J315" s="25">
        <v>7.0000000000000007E-2</v>
      </c>
    </row>
    <row r="316" spans="1:10" x14ac:dyDescent="0.3">
      <c r="A316" s="21" t="s">
        <v>347</v>
      </c>
      <c r="B316" s="22">
        <f t="shared" si="12"/>
        <v>0</v>
      </c>
      <c r="C316" s="22" t="str">
        <f t="shared" si="13"/>
        <v>Boyacá</v>
      </c>
      <c r="D316" s="22" t="str">
        <f t="shared" si="14"/>
        <v>Socha, Boyacá</v>
      </c>
      <c r="E316" s="23">
        <v>15757</v>
      </c>
      <c r="F316" s="24">
        <v>0.25</v>
      </c>
      <c r="G316" s="24">
        <v>0.25</v>
      </c>
      <c r="H316" s="24" t="s">
        <v>39</v>
      </c>
      <c r="I316" s="24">
        <v>0.16</v>
      </c>
      <c r="J316" s="25">
        <v>0.08</v>
      </c>
    </row>
    <row r="317" spans="1:10" x14ac:dyDescent="0.3">
      <c r="A317" s="21" t="s">
        <v>348</v>
      </c>
      <c r="B317" s="22">
        <f t="shared" si="12"/>
        <v>0</v>
      </c>
      <c r="C317" s="22" t="str">
        <f t="shared" si="13"/>
        <v>Boyacá</v>
      </c>
      <c r="D317" s="22" t="str">
        <f t="shared" si="14"/>
        <v>Socotá, Boyacá</v>
      </c>
      <c r="E317" s="23">
        <v>15755</v>
      </c>
      <c r="F317" s="24">
        <v>0.25</v>
      </c>
      <c r="G317" s="24">
        <v>0.3</v>
      </c>
      <c r="H317" s="24" t="s">
        <v>39</v>
      </c>
      <c r="I317" s="24">
        <v>0.16</v>
      </c>
      <c r="J317" s="25">
        <v>0.08</v>
      </c>
    </row>
    <row r="318" spans="1:10" x14ac:dyDescent="0.3">
      <c r="A318" s="21" t="s">
        <v>349</v>
      </c>
      <c r="B318" s="22">
        <f t="shared" si="12"/>
        <v>0</v>
      </c>
      <c r="C318" s="22" t="str">
        <f t="shared" si="13"/>
        <v>Boyacá</v>
      </c>
      <c r="D318" s="22" t="str">
        <f t="shared" si="14"/>
        <v>Sogamoso, Boyacá</v>
      </c>
      <c r="E318" s="23">
        <v>15759</v>
      </c>
      <c r="F318" s="24">
        <v>0.25</v>
      </c>
      <c r="G318" s="24">
        <v>0.25</v>
      </c>
      <c r="H318" s="24" t="s">
        <v>39</v>
      </c>
      <c r="I318" s="24">
        <v>0.16</v>
      </c>
      <c r="J318" s="25">
        <v>0.08</v>
      </c>
    </row>
    <row r="319" spans="1:10" x14ac:dyDescent="0.3">
      <c r="A319" s="21" t="s">
        <v>350</v>
      </c>
      <c r="B319" s="22">
        <f t="shared" si="12"/>
        <v>0</v>
      </c>
      <c r="C319" s="22" t="str">
        <f t="shared" si="13"/>
        <v>Boyacá</v>
      </c>
      <c r="D319" s="22" t="str">
        <f t="shared" si="14"/>
        <v>Somondoco, Boyacá</v>
      </c>
      <c r="E319" s="23">
        <v>15761</v>
      </c>
      <c r="F319" s="24">
        <v>0.25</v>
      </c>
      <c r="G319" s="24">
        <v>0.25</v>
      </c>
      <c r="H319" s="24" t="s">
        <v>39</v>
      </c>
      <c r="I319" s="24">
        <v>0.16</v>
      </c>
      <c r="J319" s="25">
        <v>0.08</v>
      </c>
    </row>
    <row r="320" spans="1:10" x14ac:dyDescent="0.3">
      <c r="A320" s="21" t="s">
        <v>351</v>
      </c>
      <c r="B320" s="22">
        <f t="shared" si="12"/>
        <v>0</v>
      </c>
      <c r="C320" s="22" t="str">
        <f t="shared" si="13"/>
        <v>Boyacá</v>
      </c>
      <c r="D320" s="22" t="str">
        <f t="shared" si="14"/>
        <v>Sora, Boyacá</v>
      </c>
      <c r="E320" s="23">
        <v>15762</v>
      </c>
      <c r="F320" s="24">
        <v>0.2</v>
      </c>
      <c r="G320" s="24">
        <v>0.2</v>
      </c>
      <c r="H320" s="24" t="s">
        <v>36</v>
      </c>
      <c r="I320" s="24">
        <v>0.1</v>
      </c>
      <c r="J320" s="25">
        <v>0.05</v>
      </c>
    </row>
    <row r="321" spans="1:10" x14ac:dyDescent="0.3">
      <c r="A321" s="21" t="s">
        <v>352</v>
      </c>
      <c r="B321" s="22">
        <f t="shared" si="12"/>
        <v>0</v>
      </c>
      <c r="C321" s="22" t="str">
        <f t="shared" si="13"/>
        <v>Boyacá</v>
      </c>
      <c r="D321" s="22" t="str">
        <f t="shared" si="14"/>
        <v>Soracá, Boyacá</v>
      </c>
      <c r="E321" s="23">
        <v>15764</v>
      </c>
      <c r="F321" s="24">
        <v>0.2</v>
      </c>
      <c r="G321" s="24">
        <v>0.25</v>
      </c>
      <c r="H321" s="24" t="s">
        <v>39</v>
      </c>
      <c r="I321" s="24">
        <v>0.14000000000000001</v>
      </c>
      <c r="J321" s="25">
        <v>7.0000000000000007E-2</v>
      </c>
    </row>
    <row r="322" spans="1:10" x14ac:dyDescent="0.3">
      <c r="A322" s="21" t="s">
        <v>353</v>
      </c>
      <c r="B322" s="22">
        <f t="shared" si="12"/>
        <v>0</v>
      </c>
      <c r="C322" s="22" t="str">
        <f t="shared" si="13"/>
        <v>Boyacá</v>
      </c>
      <c r="D322" s="22" t="str">
        <f t="shared" si="14"/>
        <v>Sotaquirá, Boyacá</v>
      </c>
      <c r="E322" s="23">
        <v>15763</v>
      </c>
      <c r="F322" s="24">
        <v>0.2</v>
      </c>
      <c r="G322" s="24">
        <v>0.2</v>
      </c>
      <c r="H322" s="24" t="s">
        <v>36</v>
      </c>
      <c r="I322" s="24">
        <v>0.11</v>
      </c>
      <c r="J322" s="25">
        <v>0.06</v>
      </c>
    </row>
    <row r="323" spans="1:10" x14ac:dyDescent="0.3">
      <c r="A323" s="21" t="s">
        <v>354</v>
      </c>
      <c r="B323" s="22">
        <f t="shared" ref="B323:B386" si="15">IFERROR(FIND("Departamento",A323),0)</f>
        <v>0</v>
      </c>
      <c r="C323" s="22" t="str">
        <f t="shared" ref="C323:C386" si="16">IF(B323=1,IF(ISERROR(FIND("del",A323)),MID(A323,17,30),MID(A323,18,30)),C322)</f>
        <v>Boyacá</v>
      </c>
      <c r="D323" s="22" t="str">
        <f t="shared" ref="D323:D386" si="17">IF(B323=1,"",CONCATENATE(A323,", ",C323))</f>
        <v>Susacón, Boyacá</v>
      </c>
      <c r="E323" s="23">
        <v>15774</v>
      </c>
      <c r="F323" s="24">
        <v>0.25</v>
      </c>
      <c r="G323" s="24">
        <v>0.25</v>
      </c>
      <c r="H323" s="24" t="s">
        <v>39</v>
      </c>
      <c r="I323" s="24">
        <v>0.16</v>
      </c>
      <c r="J323" s="25">
        <v>0.08</v>
      </c>
    </row>
    <row r="324" spans="1:10" x14ac:dyDescent="0.3">
      <c r="A324" s="21" t="s">
        <v>355</v>
      </c>
      <c r="B324" s="22">
        <f t="shared" si="15"/>
        <v>0</v>
      </c>
      <c r="C324" s="22" t="str">
        <f t="shared" si="16"/>
        <v>Boyacá</v>
      </c>
      <c r="D324" s="22" t="str">
        <f t="shared" si="17"/>
        <v>Sutamarchán, Boyacá</v>
      </c>
      <c r="E324" s="23">
        <v>15776</v>
      </c>
      <c r="F324" s="24">
        <v>0.15</v>
      </c>
      <c r="G324" s="24">
        <v>0.2</v>
      </c>
      <c r="H324" s="24" t="s">
        <v>36</v>
      </c>
      <c r="I324" s="24">
        <v>0.09</v>
      </c>
      <c r="J324" s="25">
        <v>0.05</v>
      </c>
    </row>
    <row r="325" spans="1:10" x14ac:dyDescent="0.3">
      <c r="A325" s="21" t="s">
        <v>356</v>
      </c>
      <c r="B325" s="22">
        <f t="shared" si="15"/>
        <v>0</v>
      </c>
      <c r="C325" s="22" t="str">
        <f t="shared" si="16"/>
        <v>Boyacá</v>
      </c>
      <c r="D325" s="22" t="str">
        <f t="shared" si="17"/>
        <v>Sutatenza, Boyacá</v>
      </c>
      <c r="E325" s="23">
        <v>15778</v>
      </c>
      <c r="F325" s="24">
        <v>0.25</v>
      </c>
      <c r="G325" s="24">
        <v>0.25</v>
      </c>
      <c r="H325" s="24" t="s">
        <v>39</v>
      </c>
      <c r="I325" s="24">
        <v>0.16</v>
      </c>
      <c r="J325" s="25">
        <v>0.08</v>
      </c>
    </row>
    <row r="326" spans="1:10" x14ac:dyDescent="0.3">
      <c r="A326" s="21" t="s">
        <v>357</v>
      </c>
      <c r="B326" s="22">
        <f t="shared" si="15"/>
        <v>0</v>
      </c>
      <c r="C326" s="22" t="str">
        <f t="shared" si="16"/>
        <v>Boyacá</v>
      </c>
      <c r="D326" s="22" t="str">
        <f t="shared" si="17"/>
        <v>Tasco, Boyacá</v>
      </c>
      <c r="E326" s="23">
        <v>15790</v>
      </c>
      <c r="F326" s="24">
        <v>0.25</v>
      </c>
      <c r="G326" s="24">
        <v>0.25</v>
      </c>
      <c r="H326" s="24" t="s">
        <v>39</v>
      </c>
      <c r="I326" s="24">
        <v>0.16</v>
      </c>
      <c r="J326" s="25">
        <v>0.08</v>
      </c>
    </row>
    <row r="327" spans="1:10" x14ac:dyDescent="0.3">
      <c r="A327" s="21" t="s">
        <v>358</v>
      </c>
      <c r="B327" s="22">
        <f t="shared" si="15"/>
        <v>0</v>
      </c>
      <c r="C327" s="22" t="str">
        <f t="shared" si="16"/>
        <v>Boyacá</v>
      </c>
      <c r="D327" s="22" t="str">
        <f t="shared" si="17"/>
        <v>Tenza, Boyacá</v>
      </c>
      <c r="E327" s="23">
        <v>15798</v>
      </c>
      <c r="F327" s="24">
        <v>0.2</v>
      </c>
      <c r="G327" s="24">
        <v>0.25</v>
      </c>
      <c r="H327" s="24" t="s">
        <v>39</v>
      </c>
      <c r="I327" s="24">
        <v>0.16</v>
      </c>
      <c r="J327" s="25">
        <v>0.08</v>
      </c>
    </row>
    <row r="328" spans="1:10" x14ac:dyDescent="0.3">
      <c r="A328" s="21" t="s">
        <v>359</v>
      </c>
      <c r="B328" s="22">
        <f t="shared" si="15"/>
        <v>0</v>
      </c>
      <c r="C328" s="22" t="str">
        <f t="shared" si="16"/>
        <v>Boyacá</v>
      </c>
      <c r="D328" s="22" t="str">
        <f t="shared" si="17"/>
        <v>Tibaná, Boyacá</v>
      </c>
      <c r="E328" s="23">
        <v>15804</v>
      </c>
      <c r="F328" s="24">
        <v>0.2</v>
      </c>
      <c r="G328" s="24">
        <v>0.25</v>
      </c>
      <c r="H328" s="24" t="s">
        <v>39</v>
      </c>
      <c r="I328" s="24">
        <v>0.16</v>
      </c>
      <c r="J328" s="25">
        <v>7.0000000000000007E-2</v>
      </c>
    </row>
    <row r="329" spans="1:10" x14ac:dyDescent="0.3">
      <c r="A329" s="21" t="s">
        <v>360</v>
      </c>
      <c r="B329" s="22">
        <f t="shared" si="15"/>
        <v>0</v>
      </c>
      <c r="C329" s="22" t="str">
        <f t="shared" si="16"/>
        <v>Boyacá</v>
      </c>
      <c r="D329" s="22" t="str">
        <f t="shared" si="17"/>
        <v>Tibasosa, Boyacá</v>
      </c>
      <c r="E329" s="23">
        <v>15806</v>
      </c>
      <c r="F329" s="24">
        <v>0.2</v>
      </c>
      <c r="G329" s="24">
        <v>0.25</v>
      </c>
      <c r="H329" s="24" t="s">
        <v>39</v>
      </c>
      <c r="I329" s="24">
        <v>0.16</v>
      </c>
      <c r="J329" s="25">
        <v>0.08</v>
      </c>
    </row>
    <row r="330" spans="1:10" x14ac:dyDescent="0.3">
      <c r="A330" s="21" t="s">
        <v>361</v>
      </c>
      <c r="B330" s="22">
        <f t="shared" si="15"/>
        <v>0</v>
      </c>
      <c r="C330" s="22" t="str">
        <f t="shared" si="16"/>
        <v>Boyacá</v>
      </c>
      <c r="D330" s="22" t="str">
        <f t="shared" si="17"/>
        <v>Tinjacá, Boyacá</v>
      </c>
      <c r="E330" s="23">
        <v>15808</v>
      </c>
      <c r="F330" s="24">
        <v>0.15</v>
      </c>
      <c r="G330" s="24">
        <v>0.2</v>
      </c>
      <c r="H330" s="24" t="s">
        <v>36</v>
      </c>
      <c r="I330" s="24">
        <v>0.09</v>
      </c>
      <c r="J330" s="25">
        <v>0.05</v>
      </c>
    </row>
    <row r="331" spans="1:10" x14ac:dyDescent="0.3">
      <c r="A331" s="21" t="s">
        <v>362</v>
      </c>
      <c r="B331" s="22">
        <f t="shared" si="15"/>
        <v>0</v>
      </c>
      <c r="C331" s="22" t="str">
        <f t="shared" si="16"/>
        <v>Boyacá</v>
      </c>
      <c r="D331" s="22" t="str">
        <f t="shared" si="17"/>
        <v>Tipacoque, Boyacá</v>
      </c>
      <c r="E331" s="23">
        <v>15810</v>
      </c>
      <c r="F331" s="24">
        <v>0.25</v>
      </c>
      <c r="G331" s="24">
        <v>0.25</v>
      </c>
      <c r="H331" s="24" t="s">
        <v>39</v>
      </c>
      <c r="I331" s="24">
        <v>0.15</v>
      </c>
      <c r="J331" s="25">
        <v>7.0000000000000007E-2</v>
      </c>
    </row>
    <row r="332" spans="1:10" x14ac:dyDescent="0.3">
      <c r="A332" s="21" t="s">
        <v>363</v>
      </c>
      <c r="B332" s="22">
        <f t="shared" si="15"/>
        <v>0</v>
      </c>
      <c r="C332" s="22" t="str">
        <f t="shared" si="16"/>
        <v>Boyacá</v>
      </c>
      <c r="D332" s="22" t="str">
        <f t="shared" si="17"/>
        <v>Toca, Boyacá</v>
      </c>
      <c r="E332" s="23">
        <v>15814</v>
      </c>
      <c r="F332" s="24">
        <v>0.2</v>
      </c>
      <c r="G332" s="24">
        <v>0.25</v>
      </c>
      <c r="H332" s="24" t="s">
        <v>39</v>
      </c>
      <c r="I332" s="24">
        <v>0.16</v>
      </c>
      <c r="J332" s="25">
        <v>0.08</v>
      </c>
    </row>
    <row r="333" spans="1:10" x14ac:dyDescent="0.3">
      <c r="A333" s="21" t="s">
        <v>364</v>
      </c>
      <c r="B333" s="22">
        <f t="shared" si="15"/>
        <v>0</v>
      </c>
      <c r="C333" s="22" t="str">
        <f t="shared" si="16"/>
        <v>Boyacá</v>
      </c>
      <c r="D333" s="22" t="str">
        <f t="shared" si="17"/>
        <v>Toguí, Boyacá</v>
      </c>
      <c r="E333" s="23">
        <v>15816</v>
      </c>
      <c r="F333" s="24">
        <v>0.15</v>
      </c>
      <c r="G333" s="24">
        <v>0.2</v>
      </c>
      <c r="H333" s="24" t="s">
        <v>36</v>
      </c>
      <c r="I333" s="24">
        <v>0.1</v>
      </c>
      <c r="J333" s="25">
        <v>0.06</v>
      </c>
    </row>
    <row r="334" spans="1:10" x14ac:dyDescent="0.3">
      <c r="A334" s="21" t="s">
        <v>365</v>
      </c>
      <c r="B334" s="22">
        <f t="shared" si="15"/>
        <v>0</v>
      </c>
      <c r="C334" s="22" t="str">
        <f t="shared" si="16"/>
        <v>Boyacá</v>
      </c>
      <c r="D334" s="22" t="str">
        <f t="shared" si="17"/>
        <v>Tópaga, Boyacá</v>
      </c>
      <c r="E334" s="23">
        <v>15820</v>
      </c>
      <c r="F334" s="24">
        <v>0.25</v>
      </c>
      <c r="G334" s="24">
        <v>0.25</v>
      </c>
      <c r="H334" s="24" t="s">
        <v>39</v>
      </c>
      <c r="I334" s="24">
        <v>0.16</v>
      </c>
      <c r="J334" s="25">
        <v>0.08</v>
      </c>
    </row>
    <row r="335" spans="1:10" x14ac:dyDescent="0.3">
      <c r="A335" s="21" t="s">
        <v>366</v>
      </c>
      <c r="B335" s="22">
        <f t="shared" si="15"/>
        <v>0</v>
      </c>
      <c r="C335" s="22" t="str">
        <f t="shared" si="16"/>
        <v>Boyacá</v>
      </c>
      <c r="D335" s="22" t="str">
        <f t="shared" si="17"/>
        <v>Tota, Boyacá</v>
      </c>
      <c r="E335" s="23">
        <v>15822</v>
      </c>
      <c r="F335" s="24">
        <v>0.2</v>
      </c>
      <c r="G335" s="24">
        <v>0.25</v>
      </c>
      <c r="H335" s="24" t="s">
        <v>39</v>
      </c>
      <c r="I335" s="24">
        <v>0.16</v>
      </c>
      <c r="J335" s="25">
        <v>0.08</v>
      </c>
    </row>
    <row r="336" spans="1:10" x14ac:dyDescent="0.3">
      <c r="A336" s="21" t="s">
        <v>367</v>
      </c>
      <c r="B336" s="22">
        <f t="shared" si="15"/>
        <v>0</v>
      </c>
      <c r="C336" s="22" t="str">
        <f t="shared" si="16"/>
        <v>Boyacá</v>
      </c>
      <c r="D336" s="22" t="str">
        <f t="shared" si="17"/>
        <v>Tunungua, Boyacá</v>
      </c>
      <c r="E336" s="23">
        <v>15832</v>
      </c>
      <c r="F336" s="24">
        <v>0.15</v>
      </c>
      <c r="G336" s="24">
        <v>0.15</v>
      </c>
      <c r="H336" s="24" t="s">
        <v>36</v>
      </c>
      <c r="I336" s="24">
        <v>0.13</v>
      </c>
      <c r="J336" s="25">
        <v>7.0000000000000007E-2</v>
      </c>
    </row>
    <row r="337" spans="1:10" x14ac:dyDescent="0.3">
      <c r="A337" s="21" t="s">
        <v>368</v>
      </c>
      <c r="B337" s="22">
        <f t="shared" si="15"/>
        <v>0</v>
      </c>
      <c r="C337" s="22" t="str">
        <f t="shared" si="16"/>
        <v>Boyacá</v>
      </c>
      <c r="D337" s="22" t="str">
        <f t="shared" si="17"/>
        <v>Turmequé, Boyacá</v>
      </c>
      <c r="E337" s="23">
        <v>15835</v>
      </c>
      <c r="F337" s="24">
        <v>0.2</v>
      </c>
      <c r="G337" s="24">
        <v>0.2</v>
      </c>
      <c r="H337" s="24" t="s">
        <v>36</v>
      </c>
      <c r="I337" s="24">
        <v>0.12</v>
      </c>
      <c r="J337" s="25">
        <v>0.06</v>
      </c>
    </row>
    <row r="338" spans="1:10" x14ac:dyDescent="0.3">
      <c r="A338" s="21" t="s">
        <v>369</v>
      </c>
      <c r="B338" s="22">
        <f t="shared" si="15"/>
        <v>0</v>
      </c>
      <c r="C338" s="22" t="str">
        <f t="shared" si="16"/>
        <v>Boyacá</v>
      </c>
      <c r="D338" s="22" t="str">
        <f t="shared" si="17"/>
        <v>Tuta, Boyacá</v>
      </c>
      <c r="E338" s="23">
        <v>15837</v>
      </c>
      <c r="F338" s="24">
        <v>0.2</v>
      </c>
      <c r="G338" s="24">
        <v>0.25</v>
      </c>
      <c r="H338" s="24" t="s">
        <v>39</v>
      </c>
      <c r="I338" s="24">
        <v>0.14000000000000001</v>
      </c>
      <c r="J338" s="25">
        <v>7.0000000000000007E-2</v>
      </c>
    </row>
    <row r="339" spans="1:10" x14ac:dyDescent="0.3">
      <c r="A339" s="21" t="s">
        <v>370</v>
      </c>
      <c r="B339" s="22">
        <f t="shared" si="15"/>
        <v>0</v>
      </c>
      <c r="C339" s="22" t="str">
        <f t="shared" si="16"/>
        <v>Boyacá</v>
      </c>
      <c r="D339" s="22" t="str">
        <f t="shared" si="17"/>
        <v>Tutazá, Boyacá</v>
      </c>
      <c r="E339" s="23">
        <v>15839</v>
      </c>
      <c r="F339" s="24">
        <v>0.25</v>
      </c>
      <c r="G339" s="24">
        <v>0.25</v>
      </c>
      <c r="H339" s="24" t="s">
        <v>39</v>
      </c>
      <c r="I339" s="24">
        <v>0.16</v>
      </c>
      <c r="J339" s="25">
        <v>0.08</v>
      </c>
    </row>
    <row r="340" spans="1:10" x14ac:dyDescent="0.3">
      <c r="A340" s="21" t="s">
        <v>371</v>
      </c>
      <c r="B340" s="22">
        <f t="shared" si="15"/>
        <v>0</v>
      </c>
      <c r="C340" s="22" t="str">
        <f t="shared" si="16"/>
        <v>Boyacá</v>
      </c>
      <c r="D340" s="22" t="str">
        <f t="shared" si="17"/>
        <v>Úmbita, Boyacá</v>
      </c>
      <c r="E340" s="23">
        <v>15842</v>
      </c>
      <c r="F340" s="24">
        <v>0.2</v>
      </c>
      <c r="G340" s="24">
        <v>0.25</v>
      </c>
      <c r="H340" s="24" t="s">
        <v>39</v>
      </c>
      <c r="I340" s="24">
        <v>0.15</v>
      </c>
      <c r="J340" s="25">
        <v>0.06</v>
      </c>
    </row>
    <row r="341" spans="1:10" x14ac:dyDescent="0.3">
      <c r="A341" s="21" t="s">
        <v>372</v>
      </c>
      <c r="B341" s="22">
        <f t="shared" si="15"/>
        <v>0</v>
      </c>
      <c r="C341" s="22" t="str">
        <f t="shared" si="16"/>
        <v>Boyacá</v>
      </c>
      <c r="D341" s="22" t="str">
        <f t="shared" si="17"/>
        <v>Ventaquemada, Boyacá</v>
      </c>
      <c r="E341" s="23">
        <v>15861</v>
      </c>
      <c r="F341" s="24">
        <v>0.2</v>
      </c>
      <c r="G341" s="24">
        <v>0.2</v>
      </c>
      <c r="H341" s="24" t="s">
        <v>36</v>
      </c>
      <c r="I341" s="24">
        <v>0.11</v>
      </c>
      <c r="J341" s="25">
        <v>0.05</v>
      </c>
    </row>
    <row r="342" spans="1:10" x14ac:dyDescent="0.3">
      <c r="A342" s="21" t="s">
        <v>373</v>
      </c>
      <c r="B342" s="22">
        <f t="shared" si="15"/>
        <v>0</v>
      </c>
      <c r="C342" s="22" t="str">
        <f t="shared" si="16"/>
        <v>Boyacá</v>
      </c>
      <c r="D342" s="22" t="str">
        <f t="shared" si="17"/>
        <v>Villa de Leyva, Boyacá</v>
      </c>
      <c r="E342" s="23">
        <v>15407</v>
      </c>
      <c r="F342" s="24">
        <v>0.2</v>
      </c>
      <c r="G342" s="24">
        <v>0.2</v>
      </c>
      <c r="H342" s="24" t="s">
        <v>36</v>
      </c>
      <c r="I342" s="24">
        <v>0.09</v>
      </c>
      <c r="J342" s="25">
        <v>0.05</v>
      </c>
    </row>
    <row r="343" spans="1:10" x14ac:dyDescent="0.3">
      <c r="A343" s="21" t="s">
        <v>374</v>
      </c>
      <c r="B343" s="22">
        <f t="shared" si="15"/>
        <v>0</v>
      </c>
      <c r="C343" s="22" t="str">
        <f t="shared" si="16"/>
        <v>Boyacá</v>
      </c>
      <c r="D343" s="22" t="str">
        <f t="shared" si="17"/>
        <v>Viracachá, Boyacá</v>
      </c>
      <c r="E343" s="23">
        <v>15879</v>
      </c>
      <c r="F343" s="24">
        <v>0.2</v>
      </c>
      <c r="G343" s="24">
        <v>0.25</v>
      </c>
      <c r="H343" s="24" t="s">
        <v>39</v>
      </c>
      <c r="I343" s="24">
        <v>0.16</v>
      </c>
      <c r="J343" s="25">
        <v>0.08</v>
      </c>
    </row>
    <row r="344" spans="1:10" ht="17.25" thickBot="1" x14ac:dyDescent="0.35">
      <c r="A344" s="38" t="s">
        <v>375</v>
      </c>
      <c r="B344" s="39">
        <f t="shared" si="15"/>
        <v>0</v>
      </c>
      <c r="C344" s="39" t="str">
        <f t="shared" si="16"/>
        <v>Boyacá</v>
      </c>
      <c r="D344" s="39" t="str">
        <f t="shared" si="17"/>
        <v>Zetaquirá, Boyacá</v>
      </c>
      <c r="E344" s="40">
        <v>15897</v>
      </c>
      <c r="F344" s="41">
        <v>0.2</v>
      </c>
      <c r="G344" s="41">
        <v>0.25</v>
      </c>
      <c r="H344" s="41" t="s">
        <v>39</v>
      </c>
      <c r="I344" s="41">
        <v>0.16</v>
      </c>
      <c r="J344" s="42">
        <v>0.08</v>
      </c>
    </row>
    <row r="345" spans="1:10" ht="17.25" thickBot="1" x14ac:dyDescent="0.35">
      <c r="A345" s="43" t="s">
        <v>376</v>
      </c>
      <c r="B345" s="44">
        <f t="shared" si="15"/>
        <v>1</v>
      </c>
      <c r="C345" s="44" t="str">
        <f t="shared" si="16"/>
        <v>Caldas</v>
      </c>
      <c r="D345" s="44" t="str">
        <f t="shared" si="17"/>
        <v/>
      </c>
      <c r="E345" s="45"/>
      <c r="F345" s="46"/>
      <c r="G345" s="46"/>
      <c r="H345" s="46"/>
      <c r="I345" s="46"/>
      <c r="J345" s="47"/>
    </row>
    <row r="346" spans="1:10" x14ac:dyDescent="0.3">
      <c r="A346" s="48" t="s">
        <v>377</v>
      </c>
      <c r="B346" s="49">
        <f t="shared" si="15"/>
        <v>0</v>
      </c>
      <c r="C346" s="49" t="str">
        <f t="shared" si="16"/>
        <v>Caldas</v>
      </c>
      <c r="D346" s="49" t="str">
        <f t="shared" si="17"/>
        <v>Manizales, Caldas</v>
      </c>
      <c r="E346" s="50">
        <v>17001</v>
      </c>
      <c r="F346" s="51">
        <v>0.25</v>
      </c>
      <c r="G346" s="51">
        <v>0.25</v>
      </c>
      <c r="H346" s="51" t="s">
        <v>39</v>
      </c>
      <c r="I346" s="51">
        <v>0.2</v>
      </c>
      <c r="J346" s="52">
        <v>0.1</v>
      </c>
    </row>
    <row r="347" spans="1:10" x14ac:dyDescent="0.3">
      <c r="A347" s="21" t="s">
        <v>378</v>
      </c>
      <c r="B347" s="22">
        <f t="shared" si="15"/>
        <v>0</v>
      </c>
      <c r="C347" s="22" t="str">
        <f t="shared" si="16"/>
        <v>Caldas</v>
      </c>
      <c r="D347" s="22" t="str">
        <f t="shared" si="17"/>
        <v>Aguadas, Caldas</v>
      </c>
      <c r="E347" s="23">
        <v>17013</v>
      </c>
      <c r="F347" s="24">
        <v>0.25</v>
      </c>
      <c r="G347" s="24">
        <v>0.25</v>
      </c>
      <c r="H347" s="24" t="s">
        <v>39</v>
      </c>
      <c r="I347" s="24">
        <v>0.2</v>
      </c>
      <c r="J347" s="25">
        <v>0.1</v>
      </c>
    </row>
    <row r="348" spans="1:10" x14ac:dyDescent="0.3">
      <c r="A348" s="21" t="s">
        <v>379</v>
      </c>
      <c r="B348" s="22">
        <f t="shared" si="15"/>
        <v>0</v>
      </c>
      <c r="C348" s="22" t="str">
        <f t="shared" si="16"/>
        <v>Caldas</v>
      </c>
      <c r="D348" s="22" t="str">
        <f t="shared" si="17"/>
        <v>Anserma, Caldas</v>
      </c>
      <c r="E348" s="23">
        <v>17042</v>
      </c>
      <c r="F348" s="24">
        <v>0.25</v>
      </c>
      <c r="G348" s="24">
        <v>0.3</v>
      </c>
      <c r="H348" s="24" t="s">
        <v>39</v>
      </c>
      <c r="I348" s="24">
        <v>0.2</v>
      </c>
      <c r="J348" s="25">
        <v>0.1</v>
      </c>
    </row>
    <row r="349" spans="1:10" x14ac:dyDescent="0.3">
      <c r="A349" s="21" t="s">
        <v>380</v>
      </c>
      <c r="B349" s="22">
        <f t="shared" si="15"/>
        <v>0</v>
      </c>
      <c r="C349" s="22" t="str">
        <f t="shared" si="16"/>
        <v>Caldas</v>
      </c>
      <c r="D349" s="22" t="str">
        <f t="shared" si="17"/>
        <v>Aranzazu, Caldas</v>
      </c>
      <c r="E349" s="23">
        <v>17050</v>
      </c>
      <c r="F349" s="24">
        <v>0.25</v>
      </c>
      <c r="G349" s="24">
        <v>0.25</v>
      </c>
      <c r="H349" s="24" t="s">
        <v>39</v>
      </c>
      <c r="I349" s="24">
        <v>0.19</v>
      </c>
      <c r="J349" s="25">
        <v>0.09</v>
      </c>
    </row>
    <row r="350" spans="1:10" x14ac:dyDescent="0.3">
      <c r="A350" s="21" t="s">
        <v>381</v>
      </c>
      <c r="B350" s="22">
        <f t="shared" si="15"/>
        <v>0</v>
      </c>
      <c r="C350" s="22" t="str">
        <f t="shared" si="16"/>
        <v>Caldas</v>
      </c>
      <c r="D350" s="22" t="str">
        <f t="shared" si="17"/>
        <v>Belalcázar, Caldas</v>
      </c>
      <c r="E350" s="23">
        <v>17088</v>
      </c>
      <c r="F350" s="24">
        <v>0.25</v>
      </c>
      <c r="G350" s="24">
        <v>0.3</v>
      </c>
      <c r="H350" s="24" t="s">
        <v>39</v>
      </c>
      <c r="I350" s="24">
        <v>0.2</v>
      </c>
      <c r="J350" s="25">
        <v>0.1</v>
      </c>
    </row>
    <row r="351" spans="1:10" x14ac:dyDescent="0.3">
      <c r="A351" s="21" t="s">
        <v>382</v>
      </c>
      <c r="B351" s="22">
        <f t="shared" si="15"/>
        <v>0</v>
      </c>
      <c r="C351" s="22" t="str">
        <f t="shared" si="16"/>
        <v>Caldas</v>
      </c>
      <c r="D351" s="22" t="str">
        <f t="shared" si="17"/>
        <v>Chinchiná, Caldas</v>
      </c>
      <c r="E351" s="23">
        <v>17174</v>
      </c>
      <c r="F351" s="24">
        <v>0.25</v>
      </c>
      <c r="G351" s="24">
        <v>0.25</v>
      </c>
      <c r="H351" s="24" t="s">
        <v>39</v>
      </c>
      <c r="I351" s="24">
        <v>0.2</v>
      </c>
      <c r="J351" s="25">
        <v>0.1</v>
      </c>
    </row>
    <row r="352" spans="1:10" x14ac:dyDescent="0.3">
      <c r="A352" s="21" t="s">
        <v>383</v>
      </c>
      <c r="B352" s="22">
        <f t="shared" si="15"/>
        <v>0</v>
      </c>
      <c r="C352" s="22" t="str">
        <f t="shared" si="16"/>
        <v>Caldas</v>
      </c>
      <c r="D352" s="22" t="str">
        <f t="shared" si="17"/>
        <v>Filadelfia, Caldas</v>
      </c>
      <c r="E352" s="23">
        <v>17272</v>
      </c>
      <c r="F352" s="24">
        <v>0.25</v>
      </c>
      <c r="G352" s="24">
        <v>0.25</v>
      </c>
      <c r="H352" s="24" t="s">
        <v>39</v>
      </c>
      <c r="I352" s="24">
        <v>0.2</v>
      </c>
      <c r="J352" s="25">
        <v>0.1</v>
      </c>
    </row>
    <row r="353" spans="1:10" x14ac:dyDescent="0.3">
      <c r="A353" s="21" t="s">
        <v>384</v>
      </c>
      <c r="B353" s="22">
        <f t="shared" si="15"/>
        <v>0</v>
      </c>
      <c r="C353" s="22" t="str">
        <f t="shared" si="16"/>
        <v>Caldas</v>
      </c>
      <c r="D353" s="22" t="str">
        <f t="shared" si="17"/>
        <v>La Dorada, Caldas</v>
      </c>
      <c r="E353" s="23">
        <v>17380</v>
      </c>
      <c r="F353" s="24">
        <v>0.15</v>
      </c>
      <c r="G353" s="24">
        <v>0.2</v>
      </c>
      <c r="H353" s="24" t="s">
        <v>36</v>
      </c>
      <c r="I353" s="24">
        <v>0.11</v>
      </c>
      <c r="J353" s="25">
        <v>0.06</v>
      </c>
    </row>
    <row r="354" spans="1:10" x14ac:dyDescent="0.3">
      <c r="A354" s="21" t="s">
        <v>385</v>
      </c>
      <c r="B354" s="22">
        <f t="shared" si="15"/>
        <v>0</v>
      </c>
      <c r="C354" s="22" t="str">
        <f t="shared" si="16"/>
        <v>Caldas</v>
      </c>
      <c r="D354" s="22" t="str">
        <f t="shared" si="17"/>
        <v>La Merced, Caldas</v>
      </c>
      <c r="E354" s="23">
        <v>17388</v>
      </c>
      <c r="F354" s="24">
        <v>0.25</v>
      </c>
      <c r="G354" s="24">
        <v>0.25</v>
      </c>
      <c r="H354" s="24" t="s">
        <v>39</v>
      </c>
      <c r="I354" s="24">
        <v>0.21</v>
      </c>
      <c r="J354" s="25">
        <v>0.1</v>
      </c>
    </row>
    <row r="355" spans="1:10" x14ac:dyDescent="0.3">
      <c r="A355" s="21" t="s">
        <v>386</v>
      </c>
      <c r="B355" s="22">
        <f t="shared" si="15"/>
        <v>0</v>
      </c>
      <c r="C355" s="22" t="str">
        <f t="shared" si="16"/>
        <v>Caldas</v>
      </c>
      <c r="D355" s="22" t="str">
        <f t="shared" si="17"/>
        <v>Manzanares, Caldas</v>
      </c>
      <c r="E355" s="23">
        <v>17433</v>
      </c>
      <c r="F355" s="24">
        <v>0.2</v>
      </c>
      <c r="G355" s="24">
        <v>0.2</v>
      </c>
      <c r="H355" s="24" t="s">
        <v>36</v>
      </c>
      <c r="I355" s="24">
        <v>0.2</v>
      </c>
      <c r="J355" s="25">
        <v>0.1</v>
      </c>
    </row>
    <row r="356" spans="1:10" x14ac:dyDescent="0.3">
      <c r="A356" s="21" t="s">
        <v>387</v>
      </c>
      <c r="B356" s="22">
        <f t="shared" si="15"/>
        <v>0</v>
      </c>
      <c r="C356" s="22" t="str">
        <f t="shared" si="16"/>
        <v>Caldas</v>
      </c>
      <c r="D356" s="22" t="str">
        <f t="shared" si="17"/>
        <v>Marmato, Caldas</v>
      </c>
      <c r="E356" s="23">
        <v>17442</v>
      </c>
      <c r="F356" s="24">
        <v>0.25</v>
      </c>
      <c r="G356" s="24">
        <v>0.25</v>
      </c>
      <c r="H356" s="24" t="s">
        <v>39</v>
      </c>
      <c r="I356" s="24">
        <v>0.2</v>
      </c>
      <c r="J356" s="25">
        <v>0.1</v>
      </c>
    </row>
    <row r="357" spans="1:10" x14ac:dyDescent="0.3">
      <c r="A357" s="21" t="s">
        <v>388</v>
      </c>
      <c r="B357" s="22">
        <f t="shared" si="15"/>
        <v>0</v>
      </c>
      <c r="C357" s="22" t="str">
        <f t="shared" si="16"/>
        <v>Caldas</v>
      </c>
      <c r="D357" s="22" t="str">
        <f t="shared" si="17"/>
        <v>Marquetalia, Caldas</v>
      </c>
      <c r="E357" s="23">
        <v>17444</v>
      </c>
      <c r="F357" s="24">
        <v>0.2</v>
      </c>
      <c r="G357" s="24">
        <v>0.2</v>
      </c>
      <c r="H357" s="24" t="s">
        <v>36</v>
      </c>
      <c r="I357" s="24">
        <v>0.17</v>
      </c>
      <c r="J357" s="25">
        <v>0.08</v>
      </c>
    </row>
    <row r="358" spans="1:10" x14ac:dyDescent="0.3">
      <c r="A358" s="21" t="s">
        <v>389</v>
      </c>
      <c r="B358" s="22">
        <f t="shared" si="15"/>
        <v>0</v>
      </c>
      <c r="C358" s="22" t="str">
        <f t="shared" si="16"/>
        <v>Caldas</v>
      </c>
      <c r="D358" s="22" t="str">
        <f t="shared" si="17"/>
        <v>Marulanda, Caldas</v>
      </c>
      <c r="E358" s="23">
        <v>17446</v>
      </c>
      <c r="F358" s="24">
        <v>0.2</v>
      </c>
      <c r="G358" s="24">
        <v>0.25</v>
      </c>
      <c r="H358" s="24" t="s">
        <v>39</v>
      </c>
      <c r="I358" s="24">
        <v>0.18</v>
      </c>
      <c r="J358" s="25">
        <v>0.09</v>
      </c>
    </row>
    <row r="359" spans="1:10" x14ac:dyDescent="0.3">
      <c r="A359" s="21" t="s">
        <v>390</v>
      </c>
      <c r="B359" s="22">
        <f t="shared" si="15"/>
        <v>0</v>
      </c>
      <c r="C359" s="22" t="str">
        <f t="shared" si="16"/>
        <v>Caldas</v>
      </c>
      <c r="D359" s="22" t="str">
        <f t="shared" si="17"/>
        <v>Neira, Caldas</v>
      </c>
      <c r="E359" s="23">
        <v>17486</v>
      </c>
      <c r="F359" s="24">
        <v>0.25</v>
      </c>
      <c r="G359" s="24">
        <v>0.25</v>
      </c>
      <c r="H359" s="24" t="s">
        <v>39</v>
      </c>
      <c r="I359" s="24">
        <v>0.19</v>
      </c>
      <c r="J359" s="25">
        <v>0.1</v>
      </c>
    </row>
    <row r="360" spans="1:10" x14ac:dyDescent="0.3">
      <c r="A360" s="21" t="s">
        <v>391</v>
      </c>
      <c r="B360" s="22">
        <f t="shared" si="15"/>
        <v>0</v>
      </c>
      <c r="C360" s="22" t="str">
        <f t="shared" si="16"/>
        <v>Caldas</v>
      </c>
      <c r="D360" s="22" t="str">
        <f t="shared" si="17"/>
        <v>Norcasia, Caldas</v>
      </c>
      <c r="E360" s="23">
        <v>17495</v>
      </c>
      <c r="F360" s="24">
        <v>0.15</v>
      </c>
      <c r="G360" s="24">
        <v>0.2</v>
      </c>
      <c r="H360" s="24" t="s">
        <v>36</v>
      </c>
      <c r="I360" s="24">
        <v>0.15</v>
      </c>
      <c r="J360" s="25">
        <v>7.0000000000000007E-2</v>
      </c>
    </row>
    <row r="361" spans="1:10" x14ac:dyDescent="0.3">
      <c r="A361" s="21" t="s">
        <v>392</v>
      </c>
      <c r="B361" s="22">
        <f t="shared" si="15"/>
        <v>0</v>
      </c>
      <c r="C361" s="22" t="str">
        <f t="shared" si="16"/>
        <v>Caldas</v>
      </c>
      <c r="D361" s="22" t="str">
        <f t="shared" si="17"/>
        <v>Pácora, Caldas</v>
      </c>
      <c r="E361" s="23">
        <v>17513</v>
      </c>
      <c r="F361" s="24">
        <v>0.25</v>
      </c>
      <c r="G361" s="24">
        <v>0.25</v>
      </c>
      <c r="H361" s="24" t="s">
        <v>39</v>
      </c>
      <c r="I361" s="24">
        <v>0.2</v>
      </c>
      <c r="J361" s="25">
        <v>0.1</v>
      </c>
    </row>
    <row r="362" spans="1:10" x14ac:dyDescent="0.3">
      <c r="A362" s="21" t="s">
        <v>393</v>
      </c>
      <c r="B362" s="22">
        <f t="shared" si="15"/>
        <v>0</v>
      </c>
      <c r="C362" s="22" t="str">
        <f t="shared" si="16"/>
        <v>Caldas</v>
      </c>
      <c r="D362" s="22" t="str">
        <f t="shared" si="17"/>
        <v>Palestina, Caldas</v>
      </c>
      <c r="E362" s="23">
        <v>17524</v>
      </c>
      <c r="F362" s="24">
        <v>0.25</v>
      </c>
      <c r="G362" s="24">
        <v>0.25</v>
      </c>
      <c r="H362" s="24" t="s">
        <v>39</v>
      </c>
      <c r="I362" s="24">
        <v>0.2</v>
      </c>
      <c r="J362" s="25">
        <v>0.1</v>
      </c>
    </row>
    <row r="363" spans="1:10" x14ac:dyDescent="0.3">
      <c r="A363" s="21" t="s">
        <v>394</v>
      </c>
      <c r="B363" s="22">
        <f t="shared" si="15"/>
        <v>0</v>
      </c>
      <c r="C363" s="22" t="str">
        <f t="shared" si="16"/>
        <v>Caldas</v>
      </c>
      <c r="D363" s="22" t="str">
        <f t="shared" si="17"/>
        <v>Pensilvania, Caldas</v>
      </c>
      <c r="E363" s="23">
        <v>17541</v>
      </c>
      <c r="F363" s="24">
        <v>0.2</v>
      </c>
      <c r="G363" s="24">
        <v>0.2</v>
      </c>
      <c r="H363" s="24" t="s">
        <v>36</v>
      </c>
      <c r="I363" s="24">
        <v>0.18</v>
      </c>
      <c r="J363" s="25">
        <v>0.09</v>
      </c>
    </row>
    <row r="364" spans="1:10" x14ac:dyDescent="0.3">
      <c r="A364" s="21" t="s">
        <v>395</v>
      </c>
      <c r="B364" s="22">
        <f t="shared" si="15"/>
        <v>0</v>
      </c>
      <c r="C364" s="22" t="str">
        <f t="shared" si="16"/>
        <v>Caldas</v>
      </c>
      <c r="D364" s="22" t="str">
        <f t="shared" si="17"/>
        <v>Riosucio, Caldas</v>
      </c>
      <c r="E364" s="23">
        <v>17614</v>
      </c>
      <c r="F364" s="24">
        <v>0.25</v>
      </c>
      <c r="G364" s="24">
        <v>0.3</v>
      </c>
      <c r="H364" s="24" t="s">
        <v>39</v>
      </c>
      <c r="I364" s="24">
        <v>0.2</v>
      </c>
      <c r="J364" s="25">
        <v>0.1</v>
      </c>
    </row>
    <row r="365" spans="1:10" x14ac:dyDescent="0.3">
      <c r="A365" s="21" t="s">
        <v>50</v>
      </c>
      <c r="B365" s="22">
        <f t="shared" si="15"/>
        <v>0</v>
      </c>
      <c r="C365" s="22" t="str">
        <f t="shared" si="16"/>
        <v>Caldas</v>
      </c>
      <c r="D365" s="22" t="str">
        <f t="shared" si="17"/>
        <v>Risaralda, Caldas</v>
      </c>
      <c r="E365" s="23">
        <v>17616</v>
      </c>
      <c r="F365" s="24">
        <v>0.25</v>
      </c>
      <c r="G365" s="24">
        <v>0.3</v>
      </c>
      <c r="H365" s="24" t="s">
        <v>39</v>
      </c>
      <c r="I365" s="24">
        <v>0.2</v>
      </c>
      <c r="J365" s="25">
        <v>0.1</v>
      </c>
    </row>
    <row r="366" spans="1:10" x14ac:dyDescent="0.3">
      <c r="A366" s="21" t="s">
        <v>396</v>
      </c>
      <c r="B366" s="22">
        <f t="shared" si="15"/>
        <v>0</v>
      </c>
      <c r="C366" s="22" t="str">
        <f t="shared" si="16"/>
        <v>Caldas</v>
      </c>
      <c r="D366" s="22" t="str">
        <f t="shared" si="17"/>
        <v>Salamina, Caldas</v>
      </c>
      <c r="E366" s="23">
        <v>17653</v>
      </c>
      <c r="F366" s="24">
        <v>0.25</v>
      </c>
      <c r="G366" s="24">
        <v>0.25</v>
      </c>
      <c r="H366" s="24" t="s">
        <v>39</v>
      </c>
      <c r="I366" s="24">
        <v>0.18</v>
      </c>
      <c r="J366" s="25">
        <v>0.09</v>
      </c>
    </row>
    <row r="367" spans="1:10" x14ac:dyDescent="0.3">
      <c r="A367" s="21" t="s">
        <v>397</v>
      </c>
      <c r="B367" s="22">
        <f t="shared" si="15"/>
        <v>0</v>
      </c>
      <c r="C367" s="22" t="str">
        <f t="shared" si="16"/>
        <v>Caldas</v>
      </c>
      <c r="D367" s="22" t="str">
        <f t="shared" si="17"/>
        <v>Samaná, Caldas</v>
      </c>
      <c r="E367" s="23">
        <v>17662</v>
      </c>
      <c r="F367" s="24">
        <v>0.2</v>
      </c>
      <c r="G367" s="24">
        <v>0.2</v>
      </c>
      <c r="H367" s="24" t="s">
        <v>36</v>
      </c>
      <c r="I367" s="24">
        <v>0.19</v>
      </c>
      <c r="J367" s="25">
        <v>0.09</v>
      </c>
    </row>
    <row r="368" spans="1:10" x14ac:dyDescent="0.3">
      <c r="A368" s="21" t="s">
        <v>398</v>
      </c>
      <c r="B368" s="22">
        <f t="shared" si="15"/>
        <v>0</v>
      </c>
      <c r="C368" s="22" t="str">
        <f t="shared" si="16"/>
        <v>Caldas</v>
      </c>
      <c r="D368" s="22" t="str">
        <f t="shared" si="17"/>
        <v>San José, Caldas</v>
      </c>
      <c r="E368" s="23">
        <v>17665</v>
      </c>
      <c r="F368" s="24">
        <v>0.25</v>
      </c>
      <c r="G368" s="24">
        <v>0.3</v>
      </c>
      <c r="H368" s="24" t="s">
        <v>39</v>
      </c>
      <c r="I368" s="24">
        <v>0.2</v>
      </c>
      <c r="J368" s="25">
        <v>0.1</v>
      </c>
    </row>
    <row r="369" spans="1:10" x14ac:dyDescent="0.3">
      <c r="A369" s="21" t="s">
        <v>399</v>
      </c>
      <c r="B369" s="22">
        <f t="shared" si="15"/>
        <v>0</v>
      </c>
      <c r="C369" s="22" t="str">
        <f t="shared" si="16"/>
        <v>Caldas</v>
      </c>
      <c r="D369" s="22" t="str">
        <f t="shared" si="17"/>
        <v>Supía, Caldas</v>
      </c>
      <c r="E369" s="23">
        <v>17777</v>
      </c>
      <c r="F369" s="24">
        <v>0.15</v>
      </c>
      <c r="G369" s="24">
        <v>0.3</v>
      </c>
      <c r="H369" s="24" t="s">
        <v>39</v>
      </c>
      <c r="I369" s="24">
        <v>0.2</v>
      </c>
      <c r="J369" s="25">
        <v>0.1</v>
      </c>
    </row>
    <row r="370" spans="1:10" x14ac:dyDescent="0.3">
      <c r="A370" s="21" t="s">
        <v>400</v>
      </c>
      <c r="B370" s="22">
        <f t="shared" si="15"/>
        <v>0</v>
      </c>
      <c r="C370" s="22" t="str">
        <f t="shared" si="16"/>
        <v>Caldas</v>
      </c>
      <c r="D370" s="22" t="str">
        <f t="shared" si="17"/>
        <v>Victoria, Caldas</v>
      </c>
      <c r="E370" s="23">
        <v>17867</v>
      </c>
      <c r="F370" s="24">
        <v>0.25</v>
      </c>
      <c r="G370" s="24">
        <v>0.2</v>
      </c>
      <c r="H370" s="24" t="s">
        <v>39</v>
      </c>
      <c r="I370" s="24">
        <v>0.13</v>
      </c>
      <c r="J370" s="25">
        <v>0.06</v>
      </c>
    </row>
    <row r="371" spans="1:10" x14ac:dyDescent="0.3">
      <c r="A371" s="21" t="s">
        <v>401</v>
      </c>
      <c r="B371" s="22">
        <f t="shared" si="15"/>
        <v>0</v>
      </c>
      <c r="C371" s="22" t="str">
        <f t="shared" si="16"/>
        <v>Caldas</v>
      </c>
      <c r="D371" s="22" t="str">
        <f t="shared" si="17"/>
        <v>Villamaría, Caldas</v>
      </c>
      <c r="E371" s="23">
        <v>17873</v>
      </c>
      <c r="F371" s="24">
        <v>0.25</v>
      </c>
      <c r="G371" s="24">
        <v>0.25</v>
      </c>
      <c r="H371" s="24" t="s">
        <v>39</v>
      </c>
      <c r="I371" s="24">
        <v>0.18</v>
      </c>
      <c r="J371" s="25">
        <v>0.09</v>
      </c>
    </row>
    <row r="372" spans="1:10" ht="17.25" thickBot="1" x14ac:dyDescent="0.35">
      <c r="A372" s="38" t="s">
        <v>402</v>
      </c>
      <c r="B372" s="39">
        <f t="shared" si="15"/>
        <v>0</v>
      </c>
      <c r="C372" s="39" t="str">
        <f t="shared" si="16"/>
        <v>Caldas</v>
      </c>
      <c r="D372" s="39" t="str">
        <f t="shared" si="17"/>
        <v>Viterbo, Caldas</v>
      </c>
      <c r="E372" s="40">
        <v>17877</v>
      </c>
      <c r="F372" s="41">
        <v>0.25</v>
      </c>
      <c r="G372" s="41">
        <v>0.3</v>
      </c>
      <c r="H372" s="41" t="s">
        <v>39</v>
      </c>
      <c r="I372" s="41">
        <v>0.23</v>
      </c>
      <c r="J372" s="42">
        <v>0.1</v>
      </c>
    </row>
    <row r="373" spans="1:10" ht="17.25" thickBot="1" x14ac:dyDescent="0.35">
      <c r="A373" s="43" t="s">
        <v>403</v>
      </c>
      <c r="B373" s="44">
        <f t="shared" si="15"/>
        <v>1</v>
      </c>
      <c r="C373" s="44" t="str">
        <f t="shared" si="16"/>
        <v>Caquetá</v>
      </c>
      <c r="D373" s="44" t="str">
        <f t="shared" si="17"/>
        <v/>
      </c>
      <c r="E373" s="45"/>
      <c r="F373" s="46"/>
      <c r="G373" s="46"/>
      <c r="H373" s="46"/>
      <c r="I373" s="46"/>
      <c r="J373" s="47"/>
    </row>
    <row r="374" spans="1:10" x14ac:dyDescent="0.3">
      <c r="A374" s="48" t="s">
        <v>404</v>
      </c>
      <c r="B374" s="49">
        <f t="shared" si="15"/>
        <v>0</v>
      </c>
      <c r="C374" s="49" t="str">
        <f t="shared" si="16"/>
        <v>Caquetá</v>
      </c>
      <c r="D374" s="49" t="str">
        <f t="shared" si="17"/>
        <v>Florencia, Caquetá</v>
      </c>
      <c r="E374" s="50">
        <v>18001</v>
      </c>
      <c r="F374" s="51">
        <v>0.2</v>
      </c>
      <c r="G374" s="51">
        <v>0.15</v>
      </c>
      <c r="H374" s="51" t="s">
        <v>36</v>
      </c>
      <c r="I374" s="51">
        <v>0.1</v>
      </c>
      <c r="J374" s="52">
        <v>0.05</v>
      </c>
    </row>
    <row r="375" spans="1:10" x14ac:dyDescent="0.3">
      <c r="A375" s="21" t="s">
        <v>405</v>
      </c>
      <c r="B375" s="22">
        <f t="shared" si="15"/>
        <v>0</v>
      </c>
      <c r="C375" s="22" t="str">
        <f t="shared" si="16"/>
        <v>Caquetá</v>
      </c>
      <c r="D375" s="22" t="str">
        <f t="shared" si="17"/>
        <v>Albania, Caquetá</v>
      </c>
      <c r="E375" s="23">
        <v>18029</v>
      </c>
      <c r="F375" s="24">
        <v>0.15</v>
      </c>
      <c r="G375" s="24">
        <v>0.15</v>
      </c>
      <c r="H375" s="24" t="s">
        <v>36</v>
      </c>
      <c r="I375" s="24">
        <v>0.06</v>
      </c>
      <c r="J375" s="25">
        <v>0.04</v>
      </c>
    </row>
    <row r="376" spans="1:10" x14ac:dyDescent="0.3">
      <c r="A376" s="21" t="s">
        <v>406</v>
      </c>
      <c r="B376" s="22">
        <f t="shared" si="15"/>
        <v>0</v>
      </c>
      <c r="C376" s="22" t="str">
        <f t="shared" si="16"/>
        <v>Caquetá</v>
      </c>
      <c r="D376" s="22" t="str">
        <f t="shared" si="17"/>
        <v>Belén De los Andaquíes, Caquetá</v>
      </c>
      <c r="E376" s="23">
        <v>18094</v>
      </c>
      <c r="F376" s="24">
        <v>0.2</v>
      </c>
      <c r="G376" s="24">
        <v>0.15</v>
      </c>
      <c r="H376" s="24" t="s">
        <v>36</v>
      </c>
      <c r="I376" s="24">
        <v>0.09</v>
      </c>
      <c r="J376" s="25">
        <v>0.05</v>
      </c>
    </row>
    <row r="377" spans="1:10" x14ac:dyDescent="0.3">
      <c r="A377" s="21" t="s">
        <v>407</v>
      </c>
      <c r="B377" s="22">
        <f t="shared" si="15"/>
        <v>0</v>
      </c>
      <c r="C377" s="22" t="str">
        <f t="shared" si="16"/>
        <v>Caquetá</v>
      </c>
      <c r="D377" s="22" t="str">
        <f t="shared" si="17"/>
        <v>Cartagena del Chairá, Caquetá</v>
      </c>
      <c r="E377" s="23">
        <v>18150</v>
      </c>
      <c r="F377" s="24">
        <v>0.05</v>
      </c>
      <c r="G377" s="37">
        <v>0.05</v>
      </c>
      <c r="H377" s="37" t="s">
        <v>11</v>
      </c>
      <c r="I377" s="24">
        <v>0.04</v>
      </c>
      <c r="J377" s="25">
        <v>0.02</v>
      </c>
    </row>
    <row r="378" spans="1:10" x14ac:dyDescent="0.3">
      <c r="A378" s="21" t="s">
        <v>408</v>
      </c>
      <c r="B378" s="22">
        <f t="shared" si="15"/>
        <v>0</v>
      </c>
      <c r="C378" s="22" t="str">
        <f t="shared" si="16"/>
        <v>Caquetá</v>
      </c>
      <c r="D378" s="22" t="str">
        <f t="shared" si="17"/>
        <v>Currillo, Caquetá</v>
      </c>
      <c r="E378" s="23">
        <v>18205</v>
      </c>
      <c r="F378" s="24">
        <v>0.15</v>
      </c>
      <c r="G378" s="24">
        <v>0.2</v>
      </c>
      <c r="H378" s="24" t="s">
        <v>36</v>
      </c>
      <c r="I378" s="24">
        <v>0.06</v>
      </c>
      <c r="J378" s="25">
        <v>0.03</v>
      </c>
    </row>
    <row r="379" spans="1:10" x14ac:dyDescent="0.3">
      <c r="A379" s="21" t="s">
        <v>409</v>
      </c>
      <c r="B379" s="22">
        <f t="shared" si="15"/>
        <v>0</v>
      </c>
      <c r="C379" s="22" t="str">
        <f t="shared" si="16"/>
        <v>Caquetá</v>
      </c>
      <c r="D379" s="22" t="str">
        <f t="shared" si="17"/>
        <v>El Doncello, Caquetá</v>
      </c>
      <c r="E379" s="23">
        <v>18247</v>
      </c>
      <c r="F379" s="24">
        <v>0.15</v>
      </c>
      <c r="G379" s="24">
        <v>0.15</v>
      </c>
      <c r="H379" s="24" t="s">
        <v>36</v>
      </c>
      <c r="I379" s="24">
        <v>0.06</v>
      </c>
      <c r="J379" s="25">
        <v>0.03</v>
      </c>
    </row>
    <row r="380" spans="1:10" x14ac:dyDescent="0.3">
      <c r="A380" s="21" t="s">
        <v>410</v>
      </c>
      <c r="B380" s="22">
        <f t="shared" si="15"/>
        <v>0</v>
      </c>
      <c r="C380" s="22" t="str">
        <f t="shared" si="16"/>
        <v>Caquetá</v>
      </c>
      <c r="D380" s="22" t="str">
        <f t="shared" si="17"/>
        <v>El Paujil, Caquetá</v>
      </c>
      <c r="E380" s="23">
        <v>18256</v>
      </c>
      <c r="F380" s="24">
        <v>0.15</v>
      </c>
      <c r="G380" s="24">
        <v>0.15</v>
      </c>
      <c r="H380" s="24" t="s">
        <v>36</v>
      </c>
      <c r="I380" s="24">
        <v>0.06</v>
      </c>
      <c r="J380" s="25">
        <v>0.03</v>
      </c>
    </row>
    <row r="381" spans="1:10" x14ac:dyDescent="0.3">
      <c r="A381" s="21" t="s">
        <v>411</v>
      </c>
      <c r="B381" s="22">
        <f t="shared" si="15"/>
        <v>0</v>
      </c>
      <c r="C381" s="22" t="str">
        <f t="shared" si="16"/>
        <v>Caquetá</v>
      </c>
      <c r="D381" s="22" t="str">
        <f t="shared" si="17"/>
        <v>La Montañita, Caquetá</v>
      </c>
      <c r="E381" s="23">
        <v>18410</v>
      </c>
      <c r="F381" s="24">
        <v>0.1</v>
      </c>
      <c r="G381" s="24">
        <v>0.15</v>
      </c>
      <c r="H381" s="24" t="s">
        <v>36</v>
      </c>
      <c r="I381" s="24">
        <v>0.05</v>
      </c>
      <c r="J381" s="25">
        <v>0.03</v>
      </c>
    </row>
    <row r="382" spans="1:10" x14ac:dyDescent="0.3">
      <c r="A382" s="21" t="s">
        <v>412</v>
      </c>
      <c r="B382" s="22">
        <f t="shared" si="15"/>
        <v>0</v>
      </c>
      <c r="C382" s="22" t="str">
        <f t="shared" si="16"/>
        <v>Caquetá</v>
      </c>
      <c r="D382" s="22" t="str">
        <f t="shared" si="17"/>
        <v>Milán, Caquetá</v>
      </c>
      <c r="E382" s="23">
        <v>18460</v>
      </c>
      <c r="F382" s="24">
        <v>0.05</v>
      </c>
      <c r="G382" s="24">
        <v>0.15</v>
      </c>
      <c r="H382" s="24" t="s">
        <v>36</v>
      </c>
      <c r="I382" s="24">
        <v>0.04</v>
      </c>
      <c r="J382" s="25">
        <v>0.02</v>
      </c>
    </row>
    <row r="383" spans="1:10" x14ac:dyDescent="0.3">
      <c r="A383" s="21" t="s">
        <v>413</v>
      </c>
      <c r="B383" s="22">
        <f t="shared" si="15"/>
        <v>0</v>
      </c>
      <c r="C383" s="22" t="str">
        <f t="shared" si="16"/>
        <v>Caquetá</v>
      </c>
      <c r="D383" s="22" t="str">
        <f t="shared" si="17"/>
        <v>Morelia, Caquetá</v>
      </c>
      <c r="E383" s="23">
        <v>18479</v>
      </c>
      <c r="F383" s="24">
        <v>0.15</v>
      </c>
      <c r="G383" s="24">
        <v>0.15</v>
      </c>
      <c r="H383" s="24" t="s">
        <v>36</v>
      </c>
      <c r="I383" s="24">
        <v>0.06</v>
      </c>
      <c r="J383" s="25">
        <v>0.03</v>
      </c>
    </row>
    <row r="384" spans="1:10" x14ac:dyDescent="0.3">
      <c r="A384" s="21" t="s">
        <v>414</v>
      </c>
      <c r="B384" s="22">
        <f t="shared" si="15"/>
        <v>0</v>
      </c>
      <c r="C384" s="22" t="str">
        <f t="shared" si="16"/>
        <v>Caquetá</v>
      </c>
      <c r="D384" s="22" t="str">
        <f t="shared" si="17"/>
        <v>Puerto Rico, Caquetá</v>
      </c>
      <c r="E384" s="23">
        <v>18592</v>
      </c>
      <c r="F384" s="24">
        <v>0.15</v>
      </c>
      <c r="G384" s="24">
        <v>0.15</v>
      </c>
      <c r="H384" s="24" t="s">
        <v>36</v>
      </c>
      <c r="I384" s="24">
        <v>7.0000000000000007E-2</v>
      </c>
      <c r="J384" s="25">
        <v>0.03</v>
      </c>
    </row>
    <row r="385" spans="1:10" x14ac:dyDescent="0.3">
      <c r="A385" s="21" t="s">
        <v>415</v>
      </c>
      <c r="B385" s="22">
        <f t="shared" si="15"/>
        <v>0</v>
      </c>
      <c r="C385" s="22" t="str">
        <f t="shared" si="16"/>
        <v>Caquetá</v>
      </c>
      <c r="D385" s="22" t="str">
        <f t="shared" si="17"/>
        <v>San José De La Fragua, Caquetá</v>
      </c>
      <c r="E385" s="23">
        <v>18610</v>
      </c>
      <c r="F385" s="24">
        <v>0.25</v>
      </c>
      <c r="G385" s="24">
        <v>0.2</v>
      </c>
      <c r="H385" s="24" t="s">
        <v>39</v>
      </c>
      <c r="I385" s="24">
        <v>0.09</v>
      </c>
      <c r="J385" s="25">
        <v>0.05</v>
      </c>
    </row>
    <row r="386" spans="1:10" x14ac:dyDescent="0.3">
      <c r="A386" s="21" t="s">
        <v>416</v>
      </c>
      <c r="B386" s="22">
        <f t="shared" si="15"/>
        <v>0</v>
      </c>
      <c r="C386" s="22" t="str">
        <f t="shared" si="16"/>
        <v>Caquetá</v>
      </c>
      <c r="D386" s="22" t="str">
        <f t="shared" si="17"/>
        <v>San Vicente del Caguán, Caquetá</v>
      </c>
      <c r="E386" s="23">
        <v>18753</v>
      </c>
      <c r="F386" s="24">
        <v>0.05</v>
      </c>
      <c r="G386" s="24">
        <v>0.05</v>
      </c>
      <c r="H386" s="24" t="s">
        <v>11</v>
      </c>
      <c r="I386" s="24">
        <v>0.04</v>
      </c>
      <c r="J386" s="25">
        <v>0.02</v>
      </c>
    </row>
    <row r="387" spans="1:10" x14ac:dyDescent="0.3">
      <c r="A387" s="21" t="s">
        <v>417</v>
      </c>
      <c r="B387" s="22">
        <f t="shared" ref="B387:B450" si="18">IFERROR(FIND("Departamento",A387),0)</f>
        <v>0</v>
      </c>
      <c r="C387" s="22" t="str">
        <f t="shared" ref="C387:C450" si="19">IF(B387=1,IF(ISERROR(FIND("del",A387)),MID(A387,17,30),MID(A387,18,30)),C386)</f>
        <v>Caquetá</v>
      </c>
      <c r="D387" s="22" t="str">
        <f t="shared" ref="D387:D450" si="20">IF(B387=1,"",CONCATENATE(A387,", ",C387))</f>
        <v>Solano, Caquetá</v>
      </c>
      <c r="E387" s="23">
        <v>18756</v>
      </c>
      <c r="F387" s="24">
        <v>0.05</v>
      </c>
      <c r="G387" s="24">
        <v>0.05</v>
      </c>
      <c r="H387" s="24" t="s">
        <v>11</v>
      </c>
      <c r="I387" s="24">
        <v>0.04</v>
      </c>
      <c r="J387" s="25">
        <v>0.02</v>
      </c>
    </row>
    <row r="388" spans="1:10" x14ac:dyDescent="0.3">
      <c r="A388" s="21" t="s">
        <v>418</v>
      </c>
      <c r="B388" s="22">
        <f t="shared" si="18"/>
        <v>0</v>
      </c>
      <c r="C388" s="22" t="str">
        <f t="shared" si="19"/>
        <v>Caquetá</v>
      </c>
      <c r="D388" s="22" t="str">
        <f t="shared" si="20"/>
        <v>Solita, Caquetá</v>
      </c>
      <c r="E388" s="23">
        <v>18785</v>
      </c>
      <c r="F388" s="24">
        <v>0.05</v>
      </c>
      <c r="G388" s="24">
        <v>0.15</v>
      </c>
      <c r="H388" s="24" t="s">
        <v>36</v>
      </c>
      <c r="I388" s="24">
        <v>0.04</v>
      </c>
      <c r="J388" s="25">
        <v>0.02</v>
      </c>
    </row>
    <row r="389" spans="1:10" ht="17.25" thickBot="1" x14ac:dyDescent="0.35">
      <c r="A389" s="38" t="s">
        <v>171</v>
      </c>
      <c r="B389" s="39">
        <f t="shared" si="18"/>
        <v>0</v>
      </c>
      <c r="C389" s="39" t="str">
        <f t="shared" si="19"/>
        <v>Caquetá</v>
      </c>
      <c r="D389" s="39" t="str">
        <f t="shared" si="20"/>
        <v>Valparaíso, Caquetá</v>
      </c>
      <c r="E389" s="40">
        <v>18860</v>
      </c>
      <c r="F389" s="41">
        <v>0.05</v>
      </c>
      <c r="G389" s="41">
        <v>0.15</v>
      </c>
      <c r="H389" s="41" t="s">
        <v>36</v>
      </c>
      <c r="I389" s="41">
        <v>0.04</v>
      </c>
      <c r="J389" s="42">
        <v>0.03</v>
      </c>
    </row>
    <row r="390" spans="1:10" ht="17.25" thickBot="1" x14ac:dyDescent="0.35">
      <c r="A390" s="43" t="s">
        <v>419</v>
      </c>
      <c r="B390" s="44">
        <f t="shared" si="18"/>
        <v>1</v>
      </c>
      <c r="C390" s="44" t="str">
        <f t="shared" si="19"/>
        <v>Casanare</v>
      </c>
      <c r="D390" s="44" t="str">
        <f t="shared" si="20"/>
        <v/>
      </c>
      <c r="E390" s="45"/>
      <c r="F390" s="46"/>
      <c r="G390" s="46"/>
      <c r="H390" s="46"/>
      <c r="I390" s="46"/>
      <c r="J390" s="47"/>
    </row>
    <row r="391" spans="1:10" x14ac:dyDescent="0.3">
      <c r="A391" s="48" t="s">
        <v>420</v>
      </c>
      <c r="B391" s="49">
        <f t="shared" si="18"/>
        <v>0</v>
      </c>
      <c r="C391" s="49" t="str">
        <f t="shared" si="19"/>
        <v>Casanare</v>
      </c>
      <c r="D391" s="49" t="str">
        <f t="shared" si="20"/>
        <v>Yopal, Casanare</v>
      </c>
      <c r="E391" s="50">
        <v>85001</v>
      </c>
      <c r="F391" s="51">
        <v>0.3</v>
      </c>
      <c r="G391" s="51">
        <v>0.2</v>
      </c>
      <c r="H391" s="51" t="s">
        <v>39</v>
      </c>
      <c r="I391" s="51">
        <v>0.15</v>
      </c>
      <c r="J391" s="52">
        <v>0.06</v>
      </c>
    </row>
    <row r="392" spans="1:10" x14ac:dyDescent="0.3">
      <c r="A392" s="21" t="s">
        <v>421</v>
      </c>
      <c r="B392" s="22">
        <f t="shared" si="18"/>
        <v>0</v>
      </c>
      <c r="C392" s="22" t="str">
        <f t="shared" si="19"/>
        <v>Casanare</v>
      </c>
      <c r="D392" s="22" t="str">
        <f t="shared" si="20"/>
        <v>Aguazul, Casanare</v>
      </c>
      <c r="E392" s="23">
        <v>85010</v>
      </c>
      <c r="F392" s="24">
        <v>0.3</v>
      </c>
      <c r="G392" s="24">
        <v>0.2</v>
      </c>
      <c r="H392" s="24" t="s">
        <v>39</v>
      </c>
      <c r="I392" s="24">
        <v>0.14000000000000001</v>
      </c>
      <c r="J392" s="25">
        <v>0.06</v>
      </c>
    </row>
    <row r="393" spans="1:10" x14ac:dyDescent="0.3">
      <c r="A393" s="21" t="s">
        <v>422</v>
      </c>
      <c r="B393" s="22">
        <f t="shared" si="18"/>
        <v>0</v>
      </c>
      <c r="C393" s="22" t="str">
        <f t="shared" si="19"/>
        <v>Casanare</v>
      </c>
      <c r="D393" s="22" t="str">
        <f t="shared" si="20"/>
        <v>Chámeza, Casanare</v>
      </c>
      <c r="E393" s="23">
        <v>85015</v>
      </c>
      <c r="F393" s="24">
        <v>0.3</v>
      </c>
      <c r="G393" s="24">
        <v>0.3</v>
      </c>
      <c r="H393" s="24" t="s">
        <v>39</v>
      </c>
      <c r="I393" s="24">
        <v>0.16</v>
      </c>
      <c r="J393" s="25">
        <v>0.08</v>
      </c>
    </row>
    <row r="394" spans="1:10" x14ac:dyDescent="0.3">
      <c r="A394" s="21" t="s">
        <v>423</v>
      </c>
      <c r="B394" s="22">
        <f t="shared" si="18"/>
        <v>0</v>
      </c>
      <c r="C394" s="22" t="str">
        <f t="shared" si="19"/>
        <v>Casanare</v>
      </c>
      <c r="D394" s="22" t="str">
        <f t="shared" si="20"/>
        <v>Hato Corozal, Casanare</v>
      </c>
      <c r="E394" s="23">
        <v>85125</v>
      </c>
      <c r="F394" s="24">
        <v>0.15</v>
      </c>
      <c r="G394" s="24">
        <v>0.15</v>
      </c>
      <c r="H394" s="24" t="s">
        <v>36</v>
      </c>
      <c r="I394" s="24">
        <v>0.08</v>
      </c>
      <c r="J394" s="25">
        <v>0.04</v>
      </c>
    </row>
    <row r="395" spans="1:10" x14ac:dyDescent="0.3">
      <c r="A395" s="21" t="s">
        <v>424</v>
      </c>
      <c r="B395" s="22">
        <f t="shared" si="18"/>
        <v>0</v>
      </c>
      <c r="C395" s="22" t="str">
        <f t="shared" si="19"/>
        <v>Casanare</v>
      </c>
      <c r="D395" s="22" t="str">
        <f t="shared" si="20"/>
        <v>La Salina, Casanare</v>
      </c>
      <c r="E395" s="23">
        <v>85136</v>
      </c>
      <c r="F395" s="24">
        <v>0.3</v>
      </c>
      <c r="G395" s="24">
        <v>0.3</v>
      </c>
      <c r="H395" s="24" t="s">
        <v>39</v>
      </c>
      <c r="I395" s="24">
        <v>0.16</v>
      </c>
      <c r="J395" s="25">
        <v>0.08</v>
      </c>
    </row>
    <row r="396" spans="1:10" x14ac:dyDescent="0.3">
      <c r="A396" s="21" t="s">
        <v>425</v>
      </c>
      <c r="B396" s="22">
        <f t="shared" si="18"/>
        <v>0</v>
      </c>
      <c r="C396" s="22" t="str">
        <f t="shared" si="19"/>
        <v>Casanare</v>
      </c>
      <c r="D396" s="22" t="str">
        <f t="shared" si="20"/>
        <v>Maní, Casanare</v>
      </c>
      <c r="E396" s="23">
        <v>85139</v>
      </c>
      <c r="F396" s="24">
        <v>0.1</v>
      </c>
      <c r="G396" s="24">
        <v>0.15</v>
      </c>
      <c r="H396" s="24" t="s">
        <v>36</v>
      </c>
      <c r="I396" s="24">
        <v>0.04</v>
      </c>
      <c r="J396" s="25">
        <v>0.02</v>
      </c>
    </row>
    <row r="397" spans="1:10" x14ac:dyDescent="0.3">
      <c r="A397" s="21" t="s">
        <v>426</v>
      </c>
      <c r="B397" s="22">
        <f t="shared" si="18"/>
        <v>0</v>
      </c>
      <c r="C397" s="22" t="str">
        <f t="shared" si="19"/>
        <v>Casanare</v>
      </c>
      <c r="D397" s="22" t="str">
        <f t="shared" si="20"/>
        <v>Monterrey, Casanare</v>
      </c>
      <c r="E397" s="23">
        <v>85162</v>
      </c>
      <c r="F397" s="24">
        <v>0.3</v>
      </c>
      <c r="G397" s="24">
        <v>0.25</v>
      </c>
      <c r="H397" s="24" t="s">
        <v>39</v>
      </c>
      <c r="I397" s="24">
        <v>0.11</v>
      </c>
      <c r="J397" s="25">
        <v>0.05</v>
      </c>
    </row>
    <row r="398" spans="1:10" x14ac:dyDescent="0.3">
      <c r="A398" s="21" t="s">
        <v>427</v>
      </c>
      <c r="B398" s="22">
        <f t="shared" si="18"/>
        <v>0</v>
      </c>
      <c r="C398" s="22" t="str">
        <f t="shared" si="19"/>
        <v>Casanare</v>
      </c>
      <c r="D398" s="22" t="str">
        <f t="shared" si="20"/>
        <v>Nunchía, Casanare</v>
      </c>
      <c r="E398" s="23">
        <v>85225</v>
      </c>
      <c r="F398" s="24">
        <v>0.2</v>
      </c>
      <c r="G398" s="24">
        <v>0.2</v>
      </c>
      <c r="H398" s="24" t="s">
        <v>36</v>
      </c>
      <c r="I398" s="24">
        <v>0.09</v>
      </c>
      <c r="J398" s="25">
        <v>0.04</v>
      </c>
    </row>
    <row r="399" spans="1:10" x14ac:dyDescent="0.3">
      <c r="A399" s="21" t="s">
        <v>428</v>
      </c>
      <c r="B399" s="22">
        <f t="shared" si="18"/>
        <v>0</v>
      </c>
      <c r="C399" s="22" t="str">
        <f t="shared" si="19"/>
        <v>Casanare</v>
      </c>
      <c r="D399" s="22" t="str">
        <f t="shared" si="20"/>
        <v>Orocué, Casanare</v>
      </c>
      <c r="E399" s="23">
        <v>85230</v>
      </c>
      <c r="F399" s="24">
        <v>0.05</v>
      </c>
      <c r="G399" s="24">
        <v>0.15</v>
      </c>
      <c r="H399" s="24" t="s">
        <v>36</v>
      </c>
      <c r="I399" s="24">
        <v>0.04</v>
      </c>
      <c r="J399" s="25">
        <v>0.02</v>
      </c>
    </row>
    <row r="400" spans="1:10" x14ac:dyDescent="0.3">
      <c r="A400" s="21" t="s">
        <v>429</v>
      </c>
      <c r="B400" s="22">
        <f t="shared" si="18"/>
        <v>0</v>
      </c>
      <c r="C400" s="22" t="str">
        <f t="shared" si="19"/>
        <v>Casanare</v>
      </c>
      <c r="D400" s="22" t="str">
        <f t="shared" si="20"/>
        <v>Paz De Ariporo, Casanare</v>
      </c>
      <c r="E400" s="23">
        <v>85250</v>
      </c>
      <c r="F400" s="24">
        <v>0.05</v>
      </c>
      <c r="G400" s="24">
        <v>0.15</v>
      </c>
      <c r="H400" s="24" t="s">
        <v>36</v>
      </c>
      <c r="I400" s="24">
        <v>0.04</v>
      </c>
      <c r="J400" s="25">
        <v>0.02</v>
      </c>
    </row>
    <row r="401" spans="1:10" x14ac:dyDescent="0.3">
      <c r="A401" s="21" t="s">
        <v>430</v>
      </c>
      <c r="B401" s="22">
        <f t="shared" si="18"/>
        <v>0</v>
      </c>
      <c r="C401" s="22" t="str">
        <f t="shared" si="19"/>
        <v>Casanare</v>
      </c>
      <c r="D401" s="22" t="str">
        <f t="shared" si="20"/>
        <v>Pore, Casanare</v>
      </c>
      <c r="E401" s="23">
        <v>85263</v>
      </c>
      <c r="F401" s="24">
        <v>0.2</v>
      </c>
      <c r="G401" s="24">
        <v>0.2</v>
      </c>
      <c r="H401" s="24" t="s">
        <v>36</v>
      </c>
      <c r="I401" s="24">
        <v>0.08</v>
      </c>
      <c r="J401" s="25">
        <v>0.04</v>
      </c>
    </row>
    <row r="402" spans="1:10" x14ac:dyDescent="0.3">
      <c r="A402" s="21" t="s">
        <v>431</v>
      </c>
      <c r="B402" s="22">
        <f t="shared" si="18"/>
        <v>0</v>
      </c>
      <c r="C402" s="22" t="str">
        <f t="shared" si="19"/>
        <v>Casanare</v>
      </c>
      <c r="D402" s="22" t="str">
        <f t="shared" si="20"/>
        <v>Recetor, Casanare</v>
      </c>
      <c r="E402" s="23">
        <v>85279</v>
      </c>
      <c r="F402" s="24">
        <v>0.3</v>
      </c>
      <c r="G402" s="24">
        <v>0.3</v>
      </c>
      <c r="H402" s="24" t="s">
        <v>39</v>
      </c>
      <c r="I402" s="24">
        <v>0.16</v>
      </c>
      <c r="J402" s="25">
        <v>0.08</v>
      </c>
    </row>
    <row r="403" spans="1:10" x14ac:dyDescent="0.3">
      <c r="A403" s="21" t="s">
        <v>139</v>
      </c>
      <c r="B403" s="22">
        <f t="shared" si="18"/>
        <v>0</v>
      </c>
      <c r="C403" s="22" t="str">
        <f t="shared" si="19"/>
        <v>Casanare</v>
      </c>
      <c r="D403" s="22" t="str">
        <f t="shared" si="20"/>
        <v>Sabanalarga, Casanare</v>
      </c>
      <c r="E403" s="23">
        <v>85300</v>
      </c>
      <c r="F403" s="24">
        <v>0.35</v>
      </c>
      <c r="G403" s="24">
        <v>0.3</v>
      </c>
      <c r="H403" s="24" t="s">
        <v>39</v>
      </c>
      <c r="I403" s="24">
        <v>0.13</v>
      </c>
      <c r="J403" s="25">
        <v>0.05</v>
      </c>
    </row>
    <row r="404" spans="1:10" x14ac:dyDescent="0.3">
      <c r="A404" s="21" t="s">
        <v>432</v>
      </c>
      <c r="B404" s="22">
        <f t="shared" si="18"/>
        <v>0</v>
      </c>
      <c r="C404" s="22" t="str">
        <f t="shared" si="19"/>
        <v>Casanare</v>
      </c>
      <c r="D404" s="22" t="str">
        <f t="shared" si="20"/>
        <v>Sácama, Casanare</v>
      </c>
      <c r="E404" s="23">
        <v>85315</v>
      </c>
      <c r="F404" s="24">
        <v>0.35</v>
      </c>
      <c r="G404" s="24">
        <v>0.25</v>
      </c>
      <c r="H404" s="24" t="s">
        <v>39</v>
      </c>
      <c r="I404" s="24">
        <v>0.16</v>
      </c>
      <c r="J404" s="25">
        <v>0.08</v>
      </c>
    </row>
    <row r="405" spans="1:10" x14ac:dyDescent="0.3">
      <c r="A405" s="21" t="s">
        <v>433</v>
      </c>
      <c r="B405" s="22">
        <f t="shared" si="18"/>
        <v>0</v>
      </c>
      <c r="C405" s="22" t="str">
        <f t="shared" si="19"/>
        <v>Casanare</v>
      </c>
      <c r="D405" s="22" t="str">
        <f t="shared" si="20"/>
        <v>San Luis De Palenque, Casanare</v>
      </c>
      <c r="E405" s="23">
        <v>85325</v>
      </c>
      <c r="F405" s="24">
        <v>0.1</v>
      </c>
      <c r="G405" s="24">
        <v>0.15</v>
      </c>
      <c r="H405" s="24" t="s">
        <v>36</v>
      </c>
      <c r="I405" s="24">
        <v>0.04</v>
      </c>
      <c r="J405" s="25">
        <v>0.02</v>
      </c>
    </row>
    <row r="406" spans="1:10" x14ac:dyDescent="0.3">
      <c r="A406" s="21" t="s">
        <v>434</v>
      </c>
      <c r="B406" s="22">
        <f t="shared" si="18"/>
        <v>0</v>
      </c>
      <c r="C406" s="22" t="str">
        <f t="shared" si="19"/>
        <v>Casanare</v>
      </c>
      <c r="D406" s="22" t="str">
        <f t="shared" si="20"/>
        <v>Támara, Casanare</v>
      </c>
      <c r="E406" s="23">
        <v>85400</v>
      </c>
      <c r="F406" s="24">
        <v>0.35</v>
      </c>
      <c r="G406" s="24">
        <v>0.2</v>
      </c>
      <c r="H406" s="24" t="s">
        <v>39</v>
      </c>
      <c r="I406" s="24">
        <v>0.16</v>
      </c>
      <c r="J406" s="25">
        <v>0.08</v>
      </c>
    </row>
    <row r="407" spans="1:10" x14ac:dyDescent="0.3">
      <c r="A407" s="21" t="s">
        <v>435</v>
      </c>
      <c r="B407" s="22">
        <f t="shared" si="18"/>
        <v>0</v>
      </c>
      <c r="C407" s="22" t="str">
        <f t="shared" si="19"/>
        <v>Casanare</v>
      </c>
      <c r="D407" s="22" t="str">
        <f t="shared" si="20"/>
        <v>Tauramena, Casanare</v>
      </c>
      <c r="E407" s="23">
        <v>85410</v>
      </c>
      <c r="F407" s="24">
        <v>0.15</v>
      </c>
      <c r="G407" s="24">
        <v>0.2</v>
      </c>
      <c r="H407" s="24" t="s">
        <v>36</v>
      </c>
      <c r="I407" s="24">
        <v>0.06</v>
      </c>
      <c r="J407" s="25">
        <v>0.03</v>
      </c>
    </row>
    <row r="408" spans="1:10" x14ac:dyDescent="0.3">
      <c r="A408" s="21" t="s">
        <v>436</v>
      </c>
      <c r="B408" s="22">
        <f t="shared" si="18"/>
        <v>0</v>
      </c>
      <c r="C408" s="22" t="str">
        <f t="shared" si="19"/>
        <v>Casanare</v>
      </c>
      <c r="D408" s="22" t="str">
        <f t="shared" si="20"/>
        <v>Trinidad, Casanare</v>
      </c>
      <c r="E408" s="23">
        <v>85430</v>
      </c>
      <c r="F408" s="24">
        <v>0.05</v>
      </c>
      <c r="G408" s="24">
        <v>0.15</v>
      </c>
      <c r="H408" s="24" t="s">
        <v>36</v>
      </c>
      <c r="I408" s="24">
        <v>0.04</v>
      </c>
      <c r="J408" s="25">
        <v>0.02</v>
      </c>
    </row>
    <row r="409" spans="1:10" ht="17.25" thickBot="1" x14ac:dyDescent="0.35">
      <c r="A409" s="38" t="s">
        <v>255</v>
      </c>
      <c r="B409" s="39">
        <f t="shared" si="18"/>
        <v>0</v>
      </c>
      <c r="C409" s="39" t="str">
        <f t="shared" si="19"/>
        <v>Casanare</v>
      </c>
      <c r="D409" s="39" t="str">
        <f t="shared" si="20"/>
        <v>Villanueva, Casanare</v>
      </c>
      <c r="E409" s="40">
        <v>85440</v>
      </c>
      <c r="F409" s="41">
        <v>0.2</v>
      </c>
      <c r="G409" s="41">
        <v>0.2</v>
      </c>
      <c r="H409" s="41" t="s">
        <v>36</v>
      </c>
      <c r="I409" s="41">
        <v>0.06</v>
      </c>
      <c r="J409" s="42">
        <v>0.03</v>
      </c>
    </row>
    <row r="410" spans="1:10" ht="17.25" thickBot="1" x14ac:dyDescent="0.35">
      <c r="A410" s="43" t="s">
        <v>437</v>
      </c>
      <c r="B410" s="44">
        <f t="shared" si="18"/>
        <v>1</v>
      </c>
      <c r="C410" s="44" t="str">
        <f t="shared" si="19"/>
        <v>Cauca</v>
      </c>
      <c r="D410" s="44" t="str">
        <f t="shared" si="20"/>
        <v/>
      </c>
      <c r="E410" s="45"/>
      <c r="F410" s="46"/>
      <c r="G410" s="46"/>
      <c r="H410" s="46"/>
      <c r="I410" s="46"/>
      <c r="J410" s="47"/>
    </row>
    <row r="411" spans="1:10" ht="17.25" thickBot="1" x14ac:dyDescent="0.35">
      <c r="A411" s="53" t="s">
        <v>438</v>
      </c>
      <c r="B411" s="54">
        <f t="shared" si="18"/>
        <v>0</v>
      </c>
      <c r="C411" s="54" t="str">
        <f t="shared" si="19"/>
        <v>Cauca</v>
      </c>
      <c r="D411" s="54" t="str">
        <f t="shared" si="20"/>
        <v>Popayán, Cauca</v>
      </c>
      <c r="E411" s="55">
        <v>19001</v>
      </c>
      <c r="F411" s="56">
        <v>0.25</v>
      </c>
      <c r="G411" s="56">
        <v>0.2</v>
      </c>
      <c r="H411" s="56" t="s">
        <v>39</v>
      </c>
      <c r="I411" s="56">
        <v>0.15</v>
      </c>
      <c r="J411" s="57">
        <v>0.08</v>
      </c>
    </row>
    <row r="412" spans="1:10" ht="17.25" thickBot="1" x14ac:dyDescent="0.35">
      <c r="A412" s="58" t="s">
        <v>439</v>
      </c>
      <c r="B412" s="59">
        <f t="shared" si="18"/>
        <v>0</v>
      </c>
      <c r="C412" s="59" t="str">
        <f t="shared" si="19"/>
        <v>Cauca</v>
      </c>
      <c r="D412" s="59" t="str">
        <f t="shared" si="20"/>
        <v>Almaguer, Cauca</v>
      </c>
      <c r="E412" s="55">
        <v>19022</v>
      </c>
      <c r="F412" s="56">
        <v>0.25</v>
      </c>
      <c r="G412" s="56">
        <v>0.25</v>
      </c>
      <c r="H412" s="56" t="s">
        <v>39</v>
      </c>
      <c r="I412" s="56">
        <v>0.16</v>
      </c>
      <c r="J412" s="57">
        <v>0.08</v>
      </c>
    </row>
    <row r="413" spans="1:10" ht="17.25" thickBot="1" x14ac:dyDescent="0.35">
      <c r="A413" s="58" t="s">
        <v>63</v>
      </c>
      <c r="B413" s="59">
        <f t="shared" si="18"/>
        <v>0</v>
      </c>
      <c r="C413" s="59" t="str">
        <f t="shared" si="19"/>
        <v>Cauca</v>
      </c>
      <c r="D413" s="59" t="str">
        <f t="shared" si="20"/>
        <v>Argelia, Cauca</v>
      </c>
      <c r="E413" s="55">
        <v>19050</v>
      </c>
      <c r="F413" s="56">
        <v>0.35</v>
      </c>
      <c r="G413" s="56">
        <v>0.25</v>
      </c>
      <c r="H413" s="56" t="s">
        <v>39</v>
      </c>
      <c r="I413" s="56">
        <v>0.09</v>
      </c>
      <c r="J413" s="57">
        <v>0.06</v>
      </c>
    </row>
    <row r="414" spans="1:10" ht="17.25" thickBot="1" x14ac:dyDescent="0.35">
      <c r="A414" s="58" t="s">
        <v>440</v>
      </c>
      <c r="B414" s="59">
        <f t="shared" si="18"/>
        <v>0</v>
      </c>
      <c r="C414" s="59" t="str">
        <f t="shared" si="19"/>
        <v>Cauca</v>
      </c>
      <c r="D414" s="59" t="str">
        <f t="shared" si="20"/>
        <v>Balboa, Cauca</v>
      </c>
      <c r="E414" s="55">
        <v>19075</v>
      </c>
      <c r="F414" s="56">
        <v>0.3</v>
      </c>
      <c r="G414" s="56">
        <v>0.25</v>
      </c>
      <c r="H414" s="56" t="s">
        <v>39</v>
      </c>
      <c r="I414" s="56">
        <v>0.16</v>
      </c>
      <c r="J414" s="57">
        <v>0.08</v>
      </c>
    </row>
    <row r="415" spans="1:10" ht="17.25" thickBot="1" x14ac:dyDescent="0.35">
      <c r="A415" s="58" t="s">
        <v>16</v>
      </c>
      <c r="B415" s="59">
        <f t="shared" si="18"/>
        <v>0</v>
      </c>
      <c r="C415" s="59" t="str">
        <f t="shared" si="19"/>
        <v>Cauca</v>
      </c>
      <c r="D415" s="59" t="str">
        <f t="shared" si="20"/>
        <v>Bolívar, Cauca</v>
      </c>
      <c r="E415" s="55">
        <v>19100</v>
      </c>
      <c r="F415" s="56">
        <v>0.25</v>
      </c>
      <c r="G415" s="56">
        <v>0.25</v>
      </c>
      <c r="H415" s="56" t="s">
        <v>39</v>
      </c>
      <c r="I415" s="56">
        <v>0.15</v>
      </c>
      <c r="J415" s="57">
        <v>7.0000000000000007E-2</v>
      </c>
    </row>
    <row r="416" spans="1:10" ht="17.25" thickBot="1" x14ac:dyDescent="0.35">
      <c r="A416" s="58" t="s">
        <v>441</v>
      </c>
      <c r="B416" s="59">
        <f t="shared" si="18"/>
        <v>0</v>
      </c>
      <c r="C416" s="59" t="str">
        <f t="shared" si="19"/>
        <v>Cauca</v>
      </c>
      <c r="D416" s="59" t="str">
        <f t="shared" si="20"/>
        <v>Buenos Aires, Cauca</v>
      </c>
      <c r="E416" s="55">
        <v>19110</v>
      </c>
      <c r="F416" s="56">
        <v>0.25</v>
      </c>
      <c r="G416" s="56">
        <v>0.2</v>
      </c>
      <c r="H416" s="56" t="s">
        <v>39</v>
      </c>
      <c r="I416" s="56">
        <v>0.16</v>
      </c>
      <c r="J416" s="57">
        <v>0.08</v>
      </c>
    </row>
    <row r="417" spans="1:10" ht="17.25" thickBot="1" x14ac:dyDescent="0.35">
      <c r="A417" s="58" t="s">
        <v>442</v>
      </c>
      <c r="B417" s="59">
        <f t="shared" si="18"/>
        <v>0</v>
      </c>
      <c r="C417" s="59" t="str">
        <f t="shared" si="19"/>
        <v>Cauca</v>
      </c>
      <c r="D417" s="59" t="str">
        <f t="shared" si="20"/>
        <v>Cajibío, Cauca</v>
      </c>
      <c r="E417" s="55">
        <v>19130</v>
      </c>
      <c r="F417" s="56">
        <v>0.25</v>
      </c>
      <c r="G417" s="56">
        <v>0.2</v>
      </c>
      <c r="H417" s="56" t="s">
        <v>39</v>
      </c>
      <c r="I417" s="56">
        <v>0.15</v>
      </c>
      <c r="J417" s="57">
        <v>0.08</v>
      </c>
    </row>
    <row r="418" spans="1:10" ht="17.25" thickBot="1" x14ac:dyDescent="0.35">
      <c r="A418" s="58" t="s">
        <v>443</v>
      </c>
      <c r="B418" s="59">
        <f t="shared" si="18"/>
        <v>0</v>
      </c>
      <c r="C418" s="59" t="str">
        <f t="shared" si="19"/>
        <v>Cauca</v>
      </c>
      <c r="D418" s="59" t="str">
        <f t="shared" si="20"/>
        <v>Caldonó, Cauca</v>
      </c>
      <c r="E418" s="55">
        <v>19137</v>
      </c>
      <c r="F418" s="56">
        <v>0.25</v>
      </c>
      <c r="G418" s="56">
        <v>0.2</v>
      </c>
      <c r="H418" s="56" t="s">
        <v>39</v>
      </c>
      <c r="I418" s="56">
        <v>0.16</v>
      </c>
      <c r="J418" s="57">
        <v>7.0000000000000007E-2</v>
      </c>
    </row>
    <row r="419" spans="1:10" ht="17.25" thickBot="1" x14ac:dyDescent="0.35">
      <c r="A419" s="58" t="s">
        <v>444</v>
      </c>
      <c r="B419" s="59">
        <f t="shared" si="18"/>
        <v>0</v>
      </c>
      <c r="C419" s="59" t="str">
        <f t="shared" si="19"/>
        <v>Cauca</v>
      </c>
      <c r="D419" s="59" t="str">
        <f t="shared" si="20"/>
        <v>Caloto, Cauca</v>
      </c>
      <c r="E419" s="55">
        <v>19142</v>
      </c>
      <c r="F419" s="56">
        <v>0.25</v>
      </c>
      <c r="G419" s="56">
        <v>0.2</v>
      </c>
      <c r="H419" s="56" t="s">
        <v>39</v>
      </c>
      <c r="I419" s="56">
        <v>0.16</v>
      </c>
      <c r="J419" s="57">
        <v>7.0000000000000007E-2</v>
      </c>
    </row>
    <row r="420" spans="1:10" ht="17.25" thickBot="1" x14ac:dyDescent="0.35">
      <c r="A420" s="58" t="s">
        <v>445</v>
      </c>
      <c r="B420" s="59">
        <f t="shared" si="18"/>
        <v>0</v>
      </c>
      <c r="C420" s="59" t="str">
        <f t="shared" si="19"/>
        <v>Cauca</v>
      </c>
      <c r="D420" s="59" t="str">
        <f t="shared" si="20"/>
        <v>Corinto, Cauca</v>
      </c>
      <c r="E420" s="55">
        <v>19212</v>
      </c>
      <c r="F420" s="56">
        <v>0.25</v>
      </c>
      <c r="G420" s="56">
        <v>0.2</v>
      </c>
      <c r="H420" s="56" t="s">
        <v>39</v>
      </c>
      <c r="I420" s="56">
        <v>0.12</v>
      </c>
      <c r="J420" s="57">
        <v>0.06</v>
      </c>
    </row>
    <row r="421" spans="1:10" ht="17.25" thickBot="1" x14ac:dyDescent="0.35">
      <c r="A421" s="58" t="s">
        <v>446</v>
      </c>
      <c r="B421" s="59">
        <f t="shared" si="18"/>
        <v>0</v>
      </c>
      <c r="C421" s="59" t="str">
        <f t="shared" si="19"/>
        <v>Cauca</v>
      </c>
      <c r="D421" s="59" t="str">
        <f t="shared" si="20"/>
        <v>El Tambo, Cauca</v>
      </c>
      <c r="E421" s="55">
        <v>19256</v>
      </c>
      <c r="F421" s="56">
        <v>0.3</v>
      </c>
      <c r="G421" s="56">
        <v>0.25</v>
      </c>
      <c r="H421" s="56" t="s">
        <v>39</v>
      </c>
      <c r="I421" s="56">
        <v>0.14000000000000001</v>
      </c>
      <c r="J421" s="57">
        <v>0.08</v>
      </c>
    </row>
    <row r="422" spans="1:10" ht="17.25" thickBot="1" x14ac:dyDescent="0.35">
      <c r="A422" s="58" t="s">
        <v>404</v>
      </c>
      <c r="B422" s="59">
        <f t="shared" si="18"/>
        <v>0</v>
      </c>
      <c r="C422" s="59" t="str">
        <f t="shared" si="19"/>
        <v>Cauca</v>
      </c>
      <c r="D422" s="59" t="str">
        <f t="shared" si="20"/>
        <v>Florencia, Cauca</v>
      </c>
      <c r="E422" s="55">
        <v>19290</v>
      </c>
      <c r="F422" s="56">
        <v>0.25</v>
      </c>
      <c r="G422" s="56">
        <v>0.25</v>
      </c>
      <c r="H422" s="56" t="s">
        <v>39</v>
      </c>
      <c r="I422" s="56">
        <v>0.14000000000000001</v>
      </c>
      <c r="J422" s="57">
        <v>7.0000000000000007E-2</v>
      </c>
    </row>
    <row r="423" spans="1:10" ht="17.25" thickBot="1" x14ac:dyDescent="0.35">
      <c r="A423" s="58" t="s">
        <v>447</v>
      </c>
      <c r="B423" s="59">
        <f t="shared" si="18"/>
        <v>0</v>
      </c>
      <c r="C423" s="59" t="str">
        <f t="shared" si="19"/>
        <v>Cauca</v>
      </c>
      <c r="D423" s="59" t="str">
        <f t="shared" si="20"/>
        <v>Guapí, Cauca</v>
      </c>
      <c r="E423" s="55">
        <v>19318</v>
      </c>
      <c r="F423" s="56">
        <v>0.4</v>
      </c>
      <c r="G423" s="56">
        <v>0.35</v>
      </c>
      <c r="H423" s="56" t="s">
        <v>39</v>
      </c>
      <c r="I423" s="56">
        <v>0.14000000000000001</v>
      </c>
      <c r="J423" s="57">
        <v>0.08</v>
      </c>
    </row>
    <row r="424" spans="1:10" ht="17.25" thickBot="1" x14ac:dyDescent="0.35">
      <c r="A424" s="58" t="s">
        <v>448</v>
      </c>
      <c r="B424" s="59">
        <f t="shared" si="18"/>
        <v>0</v>
      </c>
      <c r="C424" s="59" t="str">
        <f t="shared" si="19"/>
        <v>Cauca</v>
      </c>
      <c r="D424" s="59" t="str">
        <f t="shared" si="20"/>
        <v>Inzá, Cauca</v>
      </c>
      <c r="E424" s="55">
        <v>19355</v>
      </c>
      <c r="F424" s="56">
        <v>0.25</v>
      </c>
      <c r="G424" s="56">
        <v>0.2</v>
      </c>
      <c r="H424" s="56" t="s">
        <v>39</v>
      </c>
      <c r="I424" s="56">
        <v>0.12</v>
      </c>
      <c r="J424" s="57">
        <v>0.06</v>
      </c>
    </row>
    <row r="425" spans="1:10" ht="17.25" thickBot="1" x14ac:dyDescent="0.35">
      <c r="A425" s="58" t="s">
        <v>449</v>
      </c>
      <c r="B425" s="59">
        <f t="shared" si="18"/>
        <v>0</v>
      </c>
      <c r="C425" s="59" t="str">
        <f t="shared" si="19"/>
        <v>Cauca</v>
      </c>
      <c r="D425" s="59" t="str">
        <f t="shared" si="20"/>
        <v>Jambaló, Cauca</v>
      </c>
      <c r="E425" s="55">
        <v>19364</v>
      </c>
      <c r="F425" s="56">
        <v>0.25</v>
      </c>
      <c r="G425" s="56">
        <v>0.2</v>
      </c>
      <c r="H425" s="56" t="s">
        <v>39</v>
      </c>
      <c r="I425" s="56">
        <v>0.11</v>
      </c>
      <c r="J425" s="57">
        <v>0.06</v>
      </c>
    </row>
    <row r="426" spans="1:10" ht="17.25" thickBot="1" x14ac:dyDescent="0.35">
      <c r="A426" s="58" t="s">
        <v>450</v>
      </c>
      <c r="B426" s="59">
        <f t="shared" si="18"/>
        <v>0</v>
      </c>
      <c r="C426" s="59" t="str">
        <f t="shared" si="19"/>
        <v>Cauca</v>
      </c>
      <c r="D426" s="59" t="str">
        <f t="shared" si="20"/>
        <v>La Sierra, Cauca</v>
      </c>
      <c r="E426" s="55">
        <v>19392</v>
      </c>
      <c r="F426" s="56">
        <v>0.25</v>
      </c>
      <c r="G426" s="56">
        <v>0.2</v>
      </c>
      <c r="H426" s="56" t="s">
        <v>39</v>
      </c>
      <c r="I426" s="56">
        <v>0.16</v>
      </c>
      <c r="J426" s="57">
        <v>0.08</v>
      </c>
    </row>
    <row r="427" spans="1:10" ht="17.25" thickBot="1" x14ac:dyDescent="0.35">
      <c r="A427" s="58" t="s">
        <v>451</v>
      </c>
      <c r="B427" s="59">
        <f t="shared" si="18"/>
        <v>0</v>
      </c>
      <c r="C427" s="59" t="str">
        <f t="shared" si="19"/>
        <v>Cauca</v>
      </c>
      <c r="D427" s="59" t="str">
        <f t="shared" si="20"/>
        <v>La Vega, Cauca</v>
      </c>
      <c r="E427" s="55">
        <v>19397</v>
      </c>
      <c r="F427" s="56">
        <v>0.25</v>
      </c>
      <c r="G427" s="56">
        <v>0.2</v>
      </c>
      <c r="H427" s="56" t="s">
        <v>39</v>
      </c>
      <c r="I427" s="56">
        <v>0.16</v>
      </c>
      <c r="J427" s="57">
        <v>7.0000000000000007E-2</v>
      </c>
    </row>
    <row r="428" spans="1:10" ht="17.25" thickBot="1" x14ac:dyDescent="0.35">
      <c r="A428" s="58" t="s">
        <v>452</v>
      </c>
      <c r="B428" s="59">
        <f t="shared" si="18"/>
        <v>0</v>
      </c>
      <c r="C428" s="59" t="str">
        <f t="shared" si="19"/>
        <v>Cauca</v>
      </c>
      <c r="D428" s="59" t="str">
        <f t="shared" si="20"/>
        <v>López, Cauca</v>
      </c>
      <c r="E428" s="55">
        <v>19418</v>
      </c>
      <c r="F428" s="56">
        <v>0.4</v>
      </c>
      <c r="G428" s="56">
        <v>0.3</v>
      </c>
      <c r="H428" s="56" t="s">
        <v>39</v>
      </c>
      <c r="I428" s="56">
        <v>0.14000000000000001</v>
      </c>
      <c r="J428" s="57">
        <v>7.0000000000000007E-2</v>
      </c>
    </row>
    <row r="429" spans="1:10" ht="17.25" thickBot="1" x14ac:dyDescent="0.35">
      <c r="A429" s="58" t="s">
        <v>453</v>
      </c>
      <c r="B429" s="59">
        <f t="shared" si="18"/>
        <v>0</v>
      </c>
      <c r="C429" s="59" t="str">
        <f t="shared" si="19"/>
        <v>Cauca</v>
      </c>
      <c r="D429" s="59" t="str">
        <f t="shared" si="20"/>
        <v>Mercaderes, Cauca</v>
      </c>
      <c r="E429" s="55">
        <v>19450</v>
      </c>
      <c r="F429" s="56">
        <v>0.25</v>
      </c>
      <c r="G429" s="56">
        <v>0.25</v>
      </c>
      <c r="H429" s="56" t="s">
        <v>39</v>
      </c>
      <c r="I429" s="56">
        <v>0.15</v>
      </c>
      <c r="J429" s="57">
        <v>0.08</v>
      </c>
    </row>
    <row r="430" spans="1:10" ht="17.25" thickBot="1" x14ac:dyDescent="0.35">
      <c r="A430" s="58" t="s">
        <v>454</v>
      </c>
      <c r="B430" s="59">
        <f t="shared" si="18"/>
        <v>0</v>
      </c>
      <c r="C430" s="59" t="str">
        <f t="shared" si="19"/>
        <v>Cauca</v>
      </c>
      <c r="D430" s="59" t="str">
        <f t="shared" si="20"/>
        <v>Miranda, Cauca</v>
      </c>
      <c r="E430" s="55">
        <v>19455</v>
      </c>
      <c r="F430" s="56">
        <v>0.25</v>
      </c>
      <c r="G430" s="56">
        <v>0.2</v>
      </c>
      <c r="H430" s="56" t="s">
        <v>39</v>
      </c>
      <c r="I430" s="56">
        <v>0.13</v>
      </c>
      <c r="J430" s="57">
        <v>0.06</v>
      </c>
    </row>
    <row r="431" spans="1:10" ht="17.25" thickBot="1" x14ac:dyDescent="0.35">
      <c r="A431" s="58" t="s">
        <v>234</v>
      </c>
      <c r="B431" s="59">
        <f t="shared" si="18"/>
        <v>0</v>
      </c>
      <c r="C431" s="59" t="str">
        <f t="shared" si="19"/>
        <v>Cauca</v>
      </c>
      <c r="D431" s="59" t="str">
        <f t="shared" si="20"/>
        <v>Morales, Cauca</v>
      </c>
      <c r="E431" s="55">
        <v>19473</v>
      </c>
      <c r="F431" s="56">
        <v>0.25</v>
      </c>
      <c r="G431" s="56">
        <v>0.2</v>
      </c>
      <c r="H431" s="56" t="s">
        <v>39</v>
      </c>
      <c r="I431" s="56">
        <v>0.16</v>
      </c>
      <c r="J431" s="57">
        <v>0.08</v>
      </c>
    </row>
    <row r="432" spans="1:10" ht="17.25" thickBot="1" x14ac:dyDescent="0.35">
      <c r="A432" s="58" t="s">
        <v>455</v>
      </c>
      <c r="B432" s="59">
        <f t="shared" si="18"/>
        <v>0</v>
      </c>
      <c r="C432" s="59" t="str">
        <f t="shared" si="19"/>
        <v>Cauca</v>
      </c>
      <c r="D432" s="59" t="str">
        <f t="shared" si="20"/>
        <v>Padilla, Cauca</v>
      </c>
      <c r="E432" s="55">
        <v>19513</v>
      </c>
      <c r="F432" s="56">
        <v>0.25</v>
      </c>
      <c r="G432" s="56">
        <v>0.2</v>
      </c>
      <c r="H432" s="56" t="s">
        <v>39</v>
      </c>
      <c r="I432" s="56">
        <v>0.16</v>
      </c>
      <c r="J432" s="57">
        <v>7.0000000000000007E-2</v>
      </c>
    </row>
    <row r="433" spans="1:10" ht="17.25" thickBot="1" x14ac:dyDescent="0.35">
      <c r="A433" s="58" t="s">
        <v>316</v>
      </c>
      <c r="B433" s="59">
        <f t="shared" si="18"/>
        <v>0</v>
      </c>
      <c r="C433" s="59" t="str">
        <f t="shared" si="19"/>
        <v>Cauca</v>
      </c>
      <c r="D433" s="59" t="str">
        <f t="shared" si="20"/>
        <v>Páez, Cauca</v>
      </c>
      <c r="E433" s="55">
        <v>19517</v>
      </c>
      <c r="F433" s="56">
        <v>0.25</v>
      </c>
      <c r="G433" s="56">
        <v>0.2</v>
      </c>
      <c r="H433" s="56" t="s">
        <v>39</v>
      </c>
      <c r="I433" s="56">
        <v>0.11</v>
      </c>
      <c r="J433" s="57">
        <v>0.05</v>
      </c>
    </row>
    <row r="434" spans="1:10" ht="17.25" thickBot="1" x14ac:dyDescent="0.35">
      <c r="A434" s="58" t="s">
        <v>456</v>
      </c>
      <c r="B434" s="59">
        <f t="shared" si="18"/>
        <v>0</v>
      </c>
      <c r="C434" s="59" t="str">
        <f t="shared" si="19"/>
        <v>Cauca</v>
      </c>
      <c r="D434" s="59" t="str">
        <f t="shared" si="20"/>
        <v>Patía, Cauca</v>
      </c>
      <c r="E434" s="55">
        <v>19532</v>
      </c>
      <c r="F434" s="56">
        <v>0.25</v>
      </c>
      <c r="G434" s="56">
        <v>0.25</v>
      </c>
      <c r="H434" s="56" t="s">
        <v>39</v>
      </c>
      <c r="I434" s="56">
        <v>0.16</v>
      </c>
      <c r="J434" s="57">
        <v>0.08</v>
      </c>
    </row>
    <row r="435" spans="1:10" ht="17.25" thickBot="1" x14ac:dyDescent="0.35">
      <c r="A435" s="58" t="s">
        <v>457</v>
      </c>
      <c r="B435" s="59">
        <f t="shared" si="18"/>
        <v>0</v>
      </c>
      <c r="C435" s="59" t="str">
        <f t="shared" si="19"/>
        <v>Cauca</v>
      </c>
      <c r="D435" s="59" t="str">
        <f t="shared" si="20"/>
        <v>Piamonte, Cauca</v>
      </c>
      <c r="E435" s="55">
        <v>19533</v>
      </c>
      <c r="F435" s="56">
        <v>0.25</v>
      </c>
      <c r="G435" s="56">
        <v>0.25</v>
      </c>
      <c r="H435" s="56" t="s">
        <v>39</v>
      </c>
      <c r="I435" s="56">
        <v>0.09</v>
      </c>
      <c r="J435" s="57">
        <v>0.05</v>
      </c>
    </row>
    <row r="436" spans="1:10" ht="17.25" thickBot="1" x14ac:dyDescent="0.35">
      <c r="A436" s="58" t="s">
        <v>458</v>
      </c>
      <c r="B436" s="59">
        <f t="shared" si="18"/>
        <v>0</v>
      </c>
      <c r="C436" s="59" t="str">
        <f t="shared" si="19"/>
        <v>Cauca</v>
      </c>
      <c r="D436" s="59" t="str">
        <f t="shared" si="20"/>
        <v>Piendamó, Cauca</v>
      </c>
      <c r="E436" s="55">
        <v>19548</v>
      </c>
      <c r="F436" s="56">
        <v>0.25</v>
      </c>
      <c r="G436" s="56">
        <v>0.2</v>
      </c>
      <c r="H436" s="56" t="s">
        <v>39</v>
      </c>
      <c r="I436" s="56">
        <v>0.16</v>
      </c>
      <c r="J436" s="57">
        <v>0.08</v>
      </c>
    </row>
    <row r="437" spans="1:10" ht="17.25" thickBot="1" x14ac:dyDescent="0.35">
      <c r="A437" s="58" t="s">
        <v>459</v>
      </c>
      <c r="B437" s="59">
        <f t="shared" si="18"/>
        <v>0</v>
      </c>
      <c r="C437" s="59" t="str">
        <f t="shared" si="19"/>
        <v>Cauca</v>
      </c>
      <c r="D437" s="59" t="str">
        <f t="shared" si="20"/>
        <v>Puerto Tejada, Cauca</v>
      </c>
      <c r="E437" s="55">
        <v>19573</v>
      </c>
      <c r="F437" s="56">
        <v>0.25</v>
      </c>
      <c r="G437" s="56">
        <v>0.2</v>
      </c>
      <c r="H437" s="56" t="s">
        <v>39</v>
      </c>
      <c r="I437" s="56">
        <v>0.13</v>
      </c>
      <c r="J437" s="57">
        <v>0.08</v>
      </c>
    </row>
    <row r="438" spans="1:10" ht="17.25" thickBot="1" x14ac:dyDescent="0.35">
      <c r="A438" s="58" t="s">
        <v>460</v>
      </c>
      <c r="B438" s="59">
        <f t="shared" si="18"/>
        <v>0</v>
      </c>
      <c r="C438" s="59" t="str">
        <f t="shared" si="19"/>
        <v>Cauca</v>
      </c>
      <c r="D438" s="59" t="str">
        <f t="shared" si="20"/>
        <v>Puracé, Cauca</v>
      </c>
      <c r="E438" s="55">
        <v>19585</v>
      </c>
      <c r="F438" s="56">
        <v>0.25</v>
      </c>
      <c r="G438" s="56">
        <v>0.2</v>
      </c>
      <c r="H438" s="56" t="s">
        <v>39</v>
      </c>
      <c r="I438" s="56">
        <v>0.12</v>
      </c>
      <c r="J438" s="57">
        <v>0.06</v>
      </c>
    </row>
    <row r="439" spans="1:10" ht="17.25" thickBot="1" x14ac:dyDescent="0.35">
      <c r="A439" s="58" t="s">
        <v>461</v>
      </c>
      <c r="B439" s="59">
        <f t="shared" si="18"/>
        <v>0</v>
      </c>
      <c r="C439" s="59" t="str">
        <f t="shared" si="19"/>
        <v>Cauca</v>
      </c>
      <c r="D439" s="59" t="str">
        <f t="shared" si="20"/>
        <v>Rosas, Cauca</v>
      </c>
      <c r="E439" s="55">
        <v>19622</v>
      </c>
      <c r="F439" s="56">
        <v>0.25</v>
      </c>
      <c r="G439" s="56">
        <v>0.2</v>
      </c>
      <c r="H439" s="56" t="s">
        <v>39</v>
      </c>
      <c r="I439" s="56">
        <v>0.16</v>
      </c>
      <c r="J439" s="57">
        <v>0.08</v>
      </c>
    </row>
    <row r="440" spans="1:10" ht="17.25" thickBot="1" x14ac:dyDescent="0.35">
      <c r="A440" s="58" t="s">
        <v>462</v>
      </c>
      <c r="B440" s="59">
        <f t="shared" si="18"/>
        <v>0</v>
      </c>
      <c r="C440" s="59" t="str">
        <f t="shared" si="19"/>
        <v>Cauca</v>
      </c>
      <c r="D440" s="59" t="str">
        <f t="shared" si="20"/>
        <v>San Sebastián, Cauca</v>
      </c>
      <c r="E440" s="55">
        <v>19693</v>
      </c>
      <c r="F440" s="56">
        <v>0.25</v>
      </c>
      <c r="G440" s="56">
        <v>0.25</v>
      </c>
      <c r="H440" s="56" t="s">
        <v>39</v>
      </c>
      <c r="I440" s="56">
        <v>0.15</v>
      </c>
      <c r="J440" s="57">
        <v>7.0000000000000007E-2</v>
      </c>
    </row>
    <row r="441" spans="1:10" ht="17.25" thickBot="1" x14ac:dyDescent="0.35">
      <c r="A441" s="58" t="s">
        <v>247</v>
      </c>
      <c r="B441" s="59">
        <f t="shared" si="18"/>
        <v>0</v>
      </c>
      <c r="C441" s="59" t="str">
        <f t="shared" si="19"/>
        <v>Cauca</v>
      </c>
      <c r="D441" s="59" t="str">
        <f t="shared" si="20"/>
        <v>Santa Rosa, Cauca</v>
      </c>
      <c r="E441" s="55">
        <v>19701</v>
      </c>
      <c r="F441" s="56">
        <v>0.25</v>
      </c>
      <c r="G441" s="56">
        <v>0.25</v>
      </c>
      <c r="H441" s="56" t="s">
        <v>39</v>
      </c>
      <c r="I441" s="56">
        <v>0.16</v>
      </c>
      <c r="J441" s="57">
        <v>0.08</v>
      </c>
    </row>
    <row r="442" spans="1:10" ht="17.25" thickBot="1" x14ac:dyDescent="0.35">
      <c r="A442" s="58" t="s">
        <v>463</v>
      </c>
      <c r="B442" s="59">
        <f t="shared" si="18"/>
        <v>0</v>
      </c>
      <c r="C442" s="59" t="str">
        <f t="shared" si="19"/>
        <v>Cauca</v>
      </c>
      <c r="D442" s="59" t="str">
        <f t="shared" si="20"/>
        <v>Santander De Quilichao, Cauca</v>
      </c>
      <c r="E442" s="55">
        <v>19698</v>
      </c>
      <c r="F442" s="56">
        <v>0.25</v>
      </c>
      <c r="G442" s="56">
        <v>0.2</v>
      </c>
      <c r="H442" s="56" t="s">
        <v>39</v>
      </c>
      <c r="I442" s="56">
        <v>0.14000000000000001</v>
      </c>
      <c r="J442" s="57">
        <v>0.08</v>
      </c>
    </row>
    <row r="443" spans="1:10" ht="17.25" thickBot="1" x14ac:dyDescent="0.35">
      <c r="A443" s="58" t="s">
        <v>464</v>
      </c>
      <c r="B443" s="59">
        <f t="shared" si="18"/>
        <v>0</v>
      </c>
      <c r="C443" s="59" t="str">
        <f t="shared" si="19"/>
        <v>Cauca</v>
      </c>
      <c r="D443" s="59" t="str">
        <f t="shared" si="20"/>
        <v>Silvia, Cauca</v>
      </c>
      <c r="E443" s="55">
        <v>19743</v>
      </c>
      <c r="F443" s="56">
        <v>0.25</v>
      </c>
      <c r="G443" s="56">
        <v>0.2</v>
      </c>
      <c r="H443" s="56" t="s">
        <v>39</v>
      </c>
      <c r="I443" s="56">
        <v>0.1</v>
      </c>
      <c r="J443" s="57">
        <v>0.05</v>
      </c>
    </row>
    <row r="444" spans="1:10" ht="17.25" thickBot="1" x14ac:dyDescent="0.35">
      <c r="A444" s="58" t="s">
        <v>465</v>
      </c>
      <c r="B444" s="59">
        <f t="shared" si="18"/>
        <v>0</v>
      </c>
      <c r="C444" s="59" t="str">
        <f t="shared" si="19"/>
        <v>Cauca</v>
      </c>
      <c r="D444" s="59" t="str">
        <f t="shared" si="20"/>
        <v>Sotará, Cauca</v>
      </c>
      <c r="E444" s="55">
        <v>19760</v>
      </c>
      <c r="F444" s="56">
        <v>0.25</v>
      </c>
      <c r="G444" s="56">
        <v>0.2</v>
      </c>
      <c r="H444" s="56" t="s">
        <v>39</v>
      </c>
      <c r="I444" s="56">
        <v>0.13</v>
      </c>
      <c r="J444" s="57">
        <v>7.0000000000000007E-2</v>
      </c>
    </row>
    <row r="445" spans="1:10" ht="17.25" thickBot="1" x14ac:dyDescent="0.35">
      <c r="A445" s="58" t="s">
        <v>466</v>
      </c>
      <c r="B445" s="59">
        <f t="shared" si="18"/>
        <v>0</v>
      </c>
      <c r="C445" s="59" t="str">
        <f t="shared" si="19"/>
        <v>Cauca</v>
      </c>
      <c r="D445" s="59" t="str">
        <f t="shared" si="20"/>
        <v>Suárez, Cauca</v>
      </c>
      <c r="E445" s="55">
        <v>19780</v>
      </c>
      <c r="F445" s="56">
        <v>0.25</v>
      </c>
      <c r="G445" s="56">
        <v>0.2</v>
      </c>
      <c r="H445" s="56" t="s">
        <v>39</v>
      </c>
      <c r="I445" s="56">
        <v>0.16</v>
      </c>
      <c r="J445" s="57">
        <v>0.08</v>
      </c>
    </row>
    <row r="446" spans="1:10" ht="17.25" thickBot="1" x14ac:dyDescent="0.35">
      <c r="A446" s="58" t="s">
        <v>54</v>
      </c>
      <c r="B446" s="59">
        <f t="shared" si="18"/>
        <v>0</v>
      </c>
      <c r="C446" s="59" t="str">
        <f t="shared" si="19"/>
        <v>Cauca</v>
      </c>
      <c r="D446" s="59" t="str">
        <f t="shared" si="20"/>
        <v>Sucre, Cauca</v>
      </c>
      <c r="E446" s="55">
        <v>19785</v>
      </c>
      <c r="F446" s="56">
        <v>0.25</v>
      </c>
      <c r="G446" s="56">
        <v>0.25</v>
      </c>
      <c r="H446" s="56" t="s">
        <v>39</v>
      </c>
      <c r="I446" s="56">
        <v>0.14000000000000001</v>
      </c>
      <c r="J446" s="57">
        <v>0.08</v>
      </c>
    </row>
    <row r="447" spans="1:10" ht="17.25" thickBot="1" x14ac:dyDescent="0.35">
      <c r="A447" s="58" t="s">
        <v>467</v>
      </c>
      <c r="B447" s="59">
        <f t="shared" si="18"/>
        <v>0</v>
      </c>
      <c r="C447" s="59" t="str">
        <f t="shared" si="19"/>
        <v>Cauca</v>
      </c>
      <c r="D447" s="59" t="str">
        <f t="shared" si="20"/>
        <v>Timbío, Cauca</v>
      </c>
      <c r="E447" s="55">
        <v>19807</v>
      </c>
      <c r="F447" s="56">
        <v>0.25</v>
      </c>
      <c r="G447" s="56">
        <v>0.2</v>
      </c>
      <c r="H447" s="56" t="s">
        <v>39</v>
      </c>
      <c r="I447" s="56">
        <v>0.16</v>
      </c>
      <c r="J447" s="57">
        <v>0.08</v>
      </c>
    </row>
    <row r="448" spans="1:10" ht="17.25" thickBot="1" x14ac:dyDescent="0.35">
      <c r="A448" s="58" t="s">
        <v>468</v>
      </c>
      <c r="B448" s="59">
        <f t="shared" si="18"/>
        <v>0</v>
      </c>
      <c r="C448" s="59" t="str">
        <f t="shared" si="19"/>
        <v>Cauca</v>
      </c>
      <c r="D448" s="59" t="str">
        <f t="shared" si="20"/>
        <v>Timbiquí, Cauca</v>
      </c>
      <c r="E448" s="55">
        <v>19809</v>
      </c>
      <c r="F448" s="56">
        <v>0.4</v>
      </c>
      <c r="G448" s="56">
        <v>0.3</v>
      </c>
      <c r="H448" s="56" t="s">
        <v>39</v>
      </c>
      <c r="I448" s="56">
        <v>0.14000000000000001</v>
      </c>
      <c r="J448" s="57">
        <v>0.08</v>
      </c>
    </row>
    <row r="449" spans="1:10" ht="17.25" thickBot="1" x14ac:dyDescent="0.35">
      <c r="A449" s="58" t="s">
        <v>469</v>
      </c>
      <c r="B449" s="59">
        <f t="shared" si="18"/>
        <v>0</v>
      </c>
      <c r="C449" s="59" t="str">
        <f t="shared" si="19"/>
        <v>Cauca</v>
      </c>
      <c r="D449" s="59" t="str">
        <f t="shared" si="20"/>
        <v>Toribío, Cauca</v>
      </c>
      <c r="E449" s="55">
        <v>19821</v>
      </c>
      <c r="F449" s="56">
        <v>0.25</v>
      </c>
      <c r="G449" s="56">
        <v>0.2</v>
      </c>
      <c r="H449" s="56" t="s">
        <v>39</v>
      </c>
      <c r="I449" s="56">
        <v>0.09</v>
      </c>
      <c r="J449" s="57">
        <v>0.05</v>
      </c>
    </row>
    <row r="450" spans="1:10" ht="17.25" thickBot="1" x14ac:dyDescent="0.35">
      <c r="A450" s="58" t="s">
        <v>470</v>
      </c>
      <c r="B450" s="59">
        <f t="shared" si="18"/>
        <v>0</v>
      </c>
      <c r="C450" s="59" t="str">
        <f t="shared" si="19"/>
        <v>Cauca</v>
      </c>
      <c r="D450" s="59" t="str">
        <f t="shared" si="20"/>
        <v>Totoró, Cauca</v>
      </c>
      <c r="E450" s="55">
        <v>19824</v>
      </c>
      <c r="F450" s="56">
        <v>0.25</v>
      </c>
      <c r="G450" s="56">
        <v>0.2</v>
      </c>
      <c r="H450" s="56" t="s">
        <v>39</v>
      </c>
      <c r="I450" s="56">
        <v>0.1</v>
      </c>
      <c r="J450" s="57">
        <v>0.05</v>
      </c>
    </row>
    <row r="451" spans="1:10" ht="17.25" thickBot="1" x14ac:dyDescent="0.35">
      <c r="A451" s="58" t="s">
        <v>471</v>
      </c>
      <c r="B451" s="59">
        <f t="shared" ref="B451:B514" si="21">IFERROR(FIND("Departamento",A451),0)</f>
        <v>0</v>
      </c>
      <c r="C451" s="59" t="str">
        <f t="shared" ref="C451:C514" si="22">IF(B451=1,IF(ISERROR(FIND("del",A451)),MID(A451,17,30),MID(A451,18,30)),C450)</f>
        <v>Cauca</v>
      </c>
      <c r="D451" s="59" t="str">
        <f t="shared" ref="D451:D514" si="23">IF(B451=1,"",CONCATENATE(A451,", ",C451))</f>
        <v>Villa Rica, Cauca</v>
      </c>
      <c r="E451" s="55">
        <v>19845</v>
      </c>
      <c r="F451" s="56">
        <v>0.25</v>
      </c>
      <c r="G451" s="56">
        <v>0.2</v>
      </c>
      <c r="H451" s="56" t="s">
        <v>39</v>
      </c>
      <c r="I451" s="56">
        <v>0.14000000000000001</v>
      </c>
      <c r="J451" s="57">
        <v>0.08</v>
      </c>
    </row>
    <row r="452" spans="1:10" ht="17.25" thickBot="1" x14ac:dyDescent="0.35">
      <c r="A452" s="43" t="s">
        <v>472</v>
      </c>
      <c r="B452" s="44">
        <f t="shared" si="21"/>
        <v>1</v>
      </c>
      <c r="C452" s="44" t="str">
        <f t="shared" si="22"/>
        <v>Cesar</v>
      </c>
      <c r="D452" s="44" t="str">
        <f t="shared" si="23"/>
        <v/>
      </c>
      <c r="E452" s="45"/>
      <c r="F452" s="46"/>
      <c r="G452" s="46"/>
      <c r="H452" s="46"/>
      <c r="I452" s="46"/>
      <c r="J452" s="47"/>
    </row>
    <row r="453" spans="1:10" ht="17.25" thickBot="1" x14ac:dyDescent="0.35">
      <c r="A453" s="53" t="s">
        <v>473</v>
      </c>
      <c r="B453" s="54">
        <f t="shared" si="21"/>
        <v>0</v>
      </c>
      <c r="C453" s="54" t="str">
        <f t="shared" si="22"/>
        <v>Cesar</v>
      </c>
      <c r="D453" s="54" t="str">
        <f t="shared" si="23"/>
        <v>Valledupar, Cesar</v>
      </c>
      <c r="E453" s="55">
        <v>20001</v>
      </c>
      <c r="F453" s="56">
        <v>0.1</v>
      </c>
      <c r="G453" s="56">
        <v>0.1</v>
      </c>
      <c r="H453" s="56" t="s">
        <v>11</v>
      </c>
      <c r="I453" s="56">
        <v>0.05</v>
      </c>
      <c r="J453" s="57">
        <v>0.03</v>
      </c>
    </row>
    <row r="454" spans="1:10" ht="17.25" thickBot="1" x14ac:dyDescent="0.35">
      <c r="A454" s="58" t="s">
        <v>474</v>
      </c>
      <c r="B454" s="59">
        <f t="shared" si="21"/>
        <v>0</v>
      </c>
      <c r="C454" s="59" t="str">
        <f t="shared" si="22"/>
        <v>Cesar</v>
      </c>
      <c r="D454" s="59" t="str">
        <f t="shared" si="23"/>
        <v>Aguachica, Cesar</v>
      </c>
      <c r="E454" s="55">
        <v>20011</v>
      </c>
      <c r="F454" s="56">
        <v>0.15</v>
      </c>
      <c r="G454" s="56">
        <v>0.15</v>
      </c>
      <c r="H454" s="56" t="s">
        <v>36</v>
      </c>
      <c r="I454" s="56">
        <v>0.08</v>
      </c>
      <c r="J454" s="57">
        <v>0.04</v>
      </c>
    </row>
    <row r="455" spans="1:10" ht="17.25" thickBot="1" x14ac:dyDescent="0.35">
      <c r="A455" s="58" t="s">
        <v>475</v>
      </c>
      <c r="B455" s="59">
        <f t="shared" si="21"/>
        <v>0</v>
      </c>
      <c r="C455" s="59" t="str">
        <f t="shared" si="22"/>
        <v>Cesar</v>
      </c>
      <c r="D455" s="59" t="str">
        <f t="shared" si="23"/>
        <v>Agustín Codazzi, Cesar</v>
      </c>
      <c r="E455" s="55">
        <v>20013</v>
      </c>
      <c r="F455" s="56">
        <v>0.1</v>
      </c>
      <c r="G455" s="56">
        <v>0.1</v>
      </c>
      <c r="H455" s="56" t="s">
        <v>11</v>
      </c>
      <c r="I455" s="56">
        <v>7.0000000000000007E-2</v>
      </c>
      <c r="J455" s="57">
        <v>0.04</v>
      </c>
    </row>
    <row r="456" spans="1:10" ht="17.25" thickBot="1" x14ac:dyDescent="0.35">
      <c r="A456" s="58" t="s">
        <v>476</v>
      </c>
      <c r="B456" s="59">
        <f t="shared" si="21"/>
        <v>0</v>
      </c>
      <c r="C456" s="59" t="str">
        <f t="shared" si="22"/>
        <v>Cesar</v>
      </c>
      <c r="D456" s="59" t="str">
        <f t="shared" si="23"/>
        <v>Astréa, Cesar</v>
      </c>
      <c r="E456" s="55">
        <v>20032</v>
      </c>
      <c r="F456" s="56">
        <v>0.1</v>
      </c>
      <c r="G456" s="56">
        <v>0.1</v>
      </c>
      <c r="H456" s="56" t="s">
        <v>11</v>
      </c>
      <c r="I456" s="56">
        <v>0.08</v>
      </c>
      <c r="J456" s="57">
        <v>0.04</v>
      </c>
    </row>
    <row r="457" spans="1:10" ht="17.25" thickBot="1" x14ac:dyDescent="0.35">
      <c r="A457" s="58" t="s">
        <v>477</v>
      </c>
      <c r="B457" s="59">
        <f t="shared" si="21"/>
        <v>0</v>
      </c>
      <c r="C457" s="59" t="str">
        <f t="shared" si="22"/>
        <v>Cesar</v>
      </c>
      <c r="D457" s="59" t="str">
        <f t="shared" si="23"/>
        <v>Becerril, Cesar</v>
      </c>
      <c r="E457" s="55">
        <v>20045</v>
      </c>
      <c r="F457" s="56">
        <v>0.1</v>
      </c>
      <c r="G457" s="56">
        <v>0.1</v>
      </c>
      <c r="H457" s="56" t="s">
        <v>11</v>
      </c>
      <c r="I457" s="56">
        <v>0.08</v>
      </c>
      <c r="J457" s="57">
        <v>0.04</v>
      </c>
    </row>
    <row r="458" spans="1:10" ht="17.25" thickBot="1" x14ac:dyDescent="0.35">
      <c r="A458" s="58" t="s">
        <v>478</v>
      </c>
      <c r="B458" s="59">
        <f t="shared" si="21"/>
        <v>0</v>
      </c>
      <c r="C458" s="59" t="str">
        <f t="shared" si="22"/>
        <v>Cesar</v>
      </c>
      <c r="D458" s="59" t="str">
        <f t="shared" si="23"/>
        <v>Bosconia, Cesar</v>
      </c>
      <c r="E458" s="55">
        <v>20060</v>
      </c>
      <c r="F458" s="56">
        <v>0.1</v>
      </c>
      <c r="G458" s="56">
        <v>0.1</v>
      </c>
      <c r="H458" s="56" t="s">
        <v>11</v>
      </c>
      <c r="I458" s="56">
        <v>0.08</v>
      </c>
      <c r="J458" s="57">
        <v>0.04</v>
      </c>
    </row>
    <row r="459" spans="1:10" ht="17.25" thickBot="1" x14ac:dyDescent="0.35">
      <c r="A459" s="58" t="s">
        <v>479</v>
      </c>
      <c r="B459" s="59">
        <f t="shared" si="21"/>
        <v>0</v>
      </c>
      <c r="C459" s="59" t="str">
        <f t="shared" si="22"/>
        <v>Cesar</v>
      </c>
      <c r="D459" s="59" t="str">
        <f t="shared" si="23"/>
        <v>Chimichagua, Cesar</v>
      </c>
      <c r="E459" s="55">
        <v>20175</v>
      </c>
      <c r="F459" s="56">
        <v>0.1</v>
      </c>
      <c r="G459" s="56">
        <v>0.1</v>
      </c>
      <c r="H459" s="56" t="s">
        <v>11</v>
      </c>
      <c r="I459" s="56">
        <v>0.08</v>
      </c>
      <c r="J459" s="57">
        <v>0.04</v>
      </c>
    </row>
    <row r="460" spans="1:10" ht="17.25" thickBot="1" x14ac:dyDescent="0.35">
      <c r="A460" s="58" t="s">
        <v>480</v>
      </c>
      <c r="B460" s="59">
        <f t="shared" si="21"/>
        <v>0</v>
      </c>
      <c r="C460" s="59" t="str">
        <f t="shared" si="22"/>
        <v>Cesar</v>
      </c>
      <c r="D460" s="59" t="str">
        <f t="shared" si="23"/>
        <v>Chiriguaná, Cesar</v>
      </c>
      <c r="E460" s="55">
        <v>20178</v>
      </c>
      <c r="F460" s="56">
        <v>0.1</v>
      </c>
      <c r="G460" s="56">
        <v>0.1</v>
      </c>
      <c r="H460" s="56" t="s">
        <v>11</v>
      </c>
      <c r="I460" s="56">
        <v>0.08</v>
      </c>
      <c r="J460" s="57">
        <v>0.04</v>
      </c>
    </row>
    <row r="461" spans="1:10" ht="17.25" thickBot="1" x14ac:dyDescent="0.35">
      <c r="A461" s="58" t="s">
        <v>481</v>
      </c>
      <c r="B461" s="59">
        <f t="shared" si="21"/>
        <v>0</v>
      </c>
      <c r="C461" s="59" t="str">
        <f t="shared" si="22"/>
        <v>Cesar</v>
      </c>
      <c r="D461" s="59" t="str">
        <f t="shared" si="23"/>
        <v>Curumaní, Cesar</v>
      </c>
      <c r="E461" s="55">
        <v>20228</v>
      </c>
      <c r="F461" s="56">
        <v>0.15</v>
      </c>
      <c r="G461" s="56">
        <v>0.1</v>
      </c>
      <c r="H461" s="56" t="s">
        <v>36</v>
      </c>
      <c r="I461" s="56">
        <v>0.08</v>
      </c>
      <c r="J461" s="57">
        <v>0.04</v>
      </c>
    </row>
    <row r="462" spans="1:10" ht="17.25" thickBot="1" x14ac:dyDescent="0.35">
      <c r="A462" s="58" t="s">
        <v>482</v>
      </c>
      <c r="B462" s="59">
        <f t="shared" si="21"/>
        <v>0</v>
      </c>
      <c r="C462" s="59" t="str">
        <f t="shared" si="22"/>
        <v>Cesar</v>
      </c>
      <c r="D462" s="59" t="str">
        <f t="shared" si="23"/>
        <v>El Copey, Cesar</v>
      </c>
      <c r="E462" s="55">
        <v>20238</v>
      </c>
      <c r="F462" s="56">
        <v>0.1</v>
      </c>
      <c r="G462" s="56">
        <v>0.1</v>
      </c>
      <c r="H462" s="56" t="s">
        <v>11</v>
      </c>
      <c r="I462" s="56">
        <v>0.08</v>
      </c>
      <c r="J462" s="57">
        <v>0.04</v>
      </c>
    </row>
    <row r="463" spans="1:10" ht="17.25" thickBot="1" x14ac:dyDescent="0.35">
      <c r="A463" s="58" t="s">
        <v>483</v>
      </c>
      <c r="B463" s="59">
        <f t="shared" si="21"/>
        <v>0</v>
      </c>
      <c r="C463" s="59" t="str">
        <f t="shared" si="22"/>
        <v>Cesar</v>
      </c>
      <c r="D463" s="59" t="str">
        <f t="shared" si="23"/>
        <v>El Paso, Cesar</v>
      </c>
      <c r="E463" s="55">
        <v>20250</v>
      </c>
      <c r="F463" s="56">
        <v>0.1</v>
      </c>
      <c r="G463" s="56">
        <v>0.1</v>
      </c>
      <c r="H463" s="56" t="s">
        <v>11</v>
      </c>
      <c r="I463" s="56">
        <v>0.08</v>
      </c>
      <c r="J463" s="57">
        <v>0.04</v>
      </c>
    </row>
    <row r="464" spans="1:10" ht="17.25" thickBot="1" x14ac:dyDescent="0.35">
      <c r="A464" s="58" t="s">
        <v>484</v>
      </c>
      <c r="B464" s="59">
        <f t="shared" si="21"/>
        <v>0</v>
      </c>
      <c r="C464" s="59" t="str">
        <f t="shared" si="22"/>
        <v>Cesar</v>
      </c>
      <c r="D464" s="59" t="str">
        <f t="shared" si="23"/>
        <v>Gamarra, Cesar</v>
      </c>
      <c r="E464" s="55">
        <v>20295</v>
      </c>
      <c r="F464" s="56">
        <v>0.15</v>
      </c>
      <c r="G464" s="56">
        <v>0.15</v>
      </c>
      <c r="H464" s="56" t="s">
        <v>36</v>
      </c>
      <c r="I464" s="56">
        <v>0.08</v>
      </c>
      <c r="J464" s="57">
        <v>0.04</v>
      </c>
    </row>
    <row r="465" spans="1:10" ht="17.25" thickBot="1" x14ac:dyDescent="0.35">
      <c r="A465" s="58" t="s">
        <v>485</v>
      </c>
      <c r="B465" s="59">
        <f t="shared" si="21"/>
        <v>0</v>
      </c>
      <c r="C465" s="59" t="str">
        <f t="shared" si="22"/>
        <v>Cesar</v>
      </c>
      <c r="D465" s="59" t="str">
        <f t="shared" si="23"/>
        <v>González, Cesar</v>
      </c>
      <c r="E465" s="55">
        <v>20310</v>
      </c>
      <c r="F465" s="56">
        <v>0.2</v>
      </c>
      <c r="G465" s="56">
        <v>0.15</v>
      </c>
      <c r="H465" s="56" t="s">
        <v>36</v>
      </c>
      <c r="I465" s="56">
        <v>0.08</v>
      </c>
      <c r="J465" s="57">
        <v>0.04</v>
      </c>
    </row>
    <row r="466" spans="1:10" ht="17.25" thickBot="1" x14ac:dyDescent="0.35">
      <c r="A466" s="58" t="s">
        <v>486</v>
      </c>
      <c r="B466" s="59">
        <f t="shared" si="21"/>
        <v>0</v>
      </c>
      <c r="C466" s="59" t="str">
        <f t="shared" si="22"/>
        <v>Cesar</v>
      </c>
      <c r="D466" s="59" t="str">
        <f t="shared" si="23"/>
        <v>La Gloria, Cesar</v>
      </c>
      <c r="E466" s="55">
        <v>20383</v>
      </c>
      <c r="F466" s="56">
        <v>0.15</v>
      </c>
      <c r="G466" s="56">
        <v>0.15</v>
      </c>
      <c r="H466" s="56" t="s">
        <v>36</v>
      </c>
      <c r="I466" s="56">
        <v>0.08</v>
      </c>
      <c r="J466" s="57">
        <v>0.04</v>
      </c>
    </row>
    <row r="467" spans="1:10" ht="17.25" thickBot="1" x14ac:dyDescent="0.35">
      <c r="A467" s="58" t="s">
        <v>487</v>
      </c>
      <c r="B467" s="59">
        <f t="shared" si="21"/>
        <v>0</v>
      </c>
      <c r="C467" s="59" t="str">
        <f t="shared" si="22"/>
        <v>Cesar</v>
      </c>
      <c r="D467" s="59" t="str">
        <f t="shared" si="23"/>
        <v>La Jagua De Ibirico, Cesar</v>
      </c>
      <c r="E467" s="55">
        <v>20400</v>
      </c>
      <c r="F467" s="56">
        <v>0.1</v>
      </c>
      <c r="G467" s="56">
        <v>0.1</v>
      </c>
      <c r="H467" s="56" t="s">
        <v>11</v>
      </c>
      <c r="I467" s="56">
        <v>0.08</v>
      </c>
      <c r="J467" s="57">
        <v>0.04</v>
      </c>
    </row>
    <row r="468" spans="1:10" ht="17.25" thickBot="1" x14ac:dyDescent="0.35">
      <c r="A468" s="58" t="s">
        <v>488</v>
      </c>
      <c r="B468" s="59">
        <f t="shared" si="21"/>
        <v>0</v>
      </c>
      <c r="C468" s="59" t="str">
        <f t="shared" si="22"/>
        <v>Cesar</v>
      </c>
      <c r="D468" s="59" t="str">
        <f t="shared" si="23"/>
        <v>La Paz, Cesar</v>
      </c>
      <c r="E468" s="55">
        <v>20621</v>
      </c>
      <c r="F468" s="56">
        <v>0.1</v>
      </c>
      <c r="G468" s="56">
        <v>0.1</v>
      </c>
      <c r="H468" s="56" t="s">
        <v>11</v>
      </c>
      <c r="I468" s="56">
        <v>0.06</v>
      </c>
      <c r="J468" s="57">
        <v>0.03</v>
      </c>
    </row>
    <row r="469" spans="1:10" ht="17.25" thickBot="1" x14ac:dyDescent="0.35">
      <c r="A469" s="58" t="s">
        <v>489</v>
      </c>
      <c r="B469" s="59">
        <f t="shared" si="21"/>
        <v>0</v>
      </c>
      <c r="C469" s="59" t="str">
        <f t="shared" si="22"/>
        <v>Cesar</v>
      </c>
      <c r="D469" s="59" t="str">
        <f t="shared" si="23"/>
        <v>Manaure, Cesar</v>
      </c>
      <c r="E469" s="55">
        <v>20443</v>
      </c>
      <c r="F469" s="56">
        <v>0.1</v>
      </c>
      <c r="G469" s="56">
        <v>0.1</v>
      </c>
      <c r="H469" s="56" t="s">
        <v>11</v>
      </c>
      <c r="I469" s="56">
        <v>0.08</v>
      </c>
      <c r="J469" s="57">
        <v>0.04</v>
      </c>
    </row>
    <row r="470" spans="1:10" ht="17.25" thickBot="1" x14ac:dyDescent="0.35">
      <c r="A470" s="58" t="s">
        <v>490</v>
      </c>
      <c r="B470" s="59">
        <f t="shared" si="21"/>
        <v>0</v>
      </c>
      <c r="C470" s="59" t="str">
        <f t="shared" si="22"/>
        <v>Cesar</v>
      </c>
      <c r="D470" s="59" t="str">
        <f t="shared" si="23"/>
        <v>Pailitas, Cesar</v>
      </c>
      <c r="E470" s="55">
        <v>20517</v>
      </c>
      <c r="F470" s="56">
        <v>0.15</v>
      </c>
      <c r="G470" s="56">
        <v>0.1</v>
      </c>
      <c r="H470" s="56" t="s">
        <v>36</v>
      </c>
      <c r="I470" s="56">
        <v>0.08</v>
      </c>
      <c r="J470" s="57">
        <v>0.04</v>
      </c>
    </row>
    <row r="471" spans="1:10" ht="17.25" thickBot="1" x14ac:dyDescent="0.35">
      <c r="A471" s="58" t="s">
        <v>491</v>
      </c>
      <c r="B471" s="59">
        <f t="shared" si="21"/>
        <v>0</v>
      </c>
      <c r="C471" s="59" t="str">
        <f t="shared" si="22"/>
        <v>Cesar</v>
      </c>
      <c r="D471" s="59" t="str">
        <f t="shared" si="23"/>
        <v>Pelaya, Cesar</v>
      </c>
      <c r="E471" s="55">
        <v>20550</v>
      </c>
      <c r="F471" s="56">
        <v>0.15</v>
      </c>
      <c r="G471" s="56">
        <v>0.15</v>
      </c>
      <c r="H471" s="56" t="s">
        <v>36</v>
      </c>
      <c r="I471" s="56">
        <v>0.08</v>
      </c>
      <c r="J471" s="57">
        <v>0.04</v>
      </c>
    </row>
    <row r="472" spans="1:10" ht="17.25" thickBot="1" x14ac:dyDescent="0.35">
      <c r="A472" s="58" t="s">
        <v>492</v>
      </c>
      <c r="B472" s="59">
        <f t="shared" si="21"/>
        <v>0</v>
      </c>
      <c r="C472" s="59" t="str">
        <f t="shared" si="22"/>
        <v>Cesar</v>
      </c>
      <c r="D472" s="59" t="str">
        <f t="shared" si="23"/>
        <v>Pueblo Bello, Cesar</v>
      </c>
      <c r="E472" s="55">
        <v>20570</v>
      </c>
      <c r="F472" s="56">
        <v>0.1</v>
      </c>
      <c r="G472" s="56">
        <v>0.1</v>
      </c>
      <c r="H472" s="56" t="s">
        <v>11</v>
      </c>
      <c r="I472" s="56">
        <v>0.05</v>
      </c>
      <c r="J472" s="57">
        <v>0.03</v>
      </c>
    </row>
    <row r="473" spans="1:10" ht="17.25" thickBot="1" x14ac:dyDescent="0.35">
      <c r="A473" s="58" t="s">
        <v>493</v>
      </c>
      <c r="B473" s="59">
        <f t="shared" si="21"/>
        <v>0</v>
      </c>
      <c r="C473" s="59" t="str">
        <f t="shared" si="22"/>
        <v>Cesar</v>
      </c>
      <c r="D473" s="59" t="str">
        <f t="shared" si="23"/>
        <v>Río De Oro, Cesar</v>
      </c>
      <c r="E473" s="55">
        <v>20614</v>
      </c>
      <c r="F473" s="56">
        <v>0.2</v>
      </c>
      <c r="G473" s="56">
        <v>0.15</v>
      </c>
      <c r="H473" s="56" t="s">
        <v>36</v>
      </c>
      <c r="I473" s="56">
        <v>0.08</v>
      </c>
      <c r="J473" s="57">
        <v>0.04</v>
      </c>
    </row>
    <row r="474" spans="1:10" ht="17.25" thickBot="1" x14ac:dyDescent="0.35">
      <c r="A474" s="58" t="s">
        <v>494</v>
      </c>
      <c r="B474" s="59">
        <f t="shared" si="21"/>
        <v>0</v>
      </c>
      <c r="C474" s="59" t="str">
        <f t="shared" si="22"/>
        <v>Cesar</v>
      </c>
      <c r="D474" s="59" t="str">
        <f t="shared" si="23"/>
        <v>San Alberto, Cesar</v>
      </c>
      <c r="E474" s="55">
        <v>20710</v>
      </c>
      <c r="F474" s="56">
        <v>0.2</v>
      </c>
      <c r="G474" s="56">
        <v>0.15</v>
      </c>
      <c r="H474" s="56" t="s">
        <v>36</v>
      </c>
      <c r="I474" s="56">
        <v>0.08</v>
      </c>
      <c r="J474" s="57">
        <v>0.04</v>
      </c>
    </row>
    <row r="475" spans="1:10" ht="17.25" thickBot="1" x14ac:dyDescent="0.35">
      <c r="A475" s="58" t="s">
        <v>495</v>
      </c>
      <c r="B475" s="59">
        <f t="shared" si="21"/>
        <v>0</v>
      </c>
      <c r="C475" s="59" t="str">
        <f t="shared" si="22"/>
        <v>Cesar</v>
      </c>
      <c r="D475" s="59" t="str">
        <f t="shared" si="23"/>
        <v>San Diego, Cesar</v>
      </c>
      <c r="E475" s="55">
        <v>20750</v>
      </c>
      <c r="F475" s="56">
        <v>0.1</v>
      </c>
      <c r="G475" s="56">
        <v>0.1</v>
      </c>
      <c r="H475" s="56" t="s">
        <v>11</v>
      </c>
      <c r="I475" s="56">
        <v>0.05</v>
      </c>
      <c r="J475" s="57">
        <v>0.03</v>
      </c>
    </row>
    <row r="476" spans="1:10" ht="17.25" thickBot="1" x14ac:dyDescent="0.35">
      <c r="A476" s="58" t="s">
        <v>496</v>
      </c>
      <c r="B476" s="59">
        <f t="shared" si="21"/>
        <v>0</v>
      </c>
      <c r="C476" s="59" t="str">
        <f t="shared" si="22"/>
        <v>Cesar</v>
      </c>
      <c r="D476" s="59" t="str">
        <f t="shared" si="23"/>
        <v>San Martín, Cesar</v>
      </c>
      <c r="E476" s="55">
        <v>20770</v>
      </c>
      <c r="F476" s="56">
        <v>0.2</v>
      </c>
      <c r="G476" s="56">
        <v>0.15</v>
      </c>
      <c r="H476" s="56" t="s">
        <v>36</v>
      </c>
      <c r="I476" s="56">
        <v>0.08</v>
      </c>
      <c r="J476" s="57">
        <v>0.04</v>
      </c>
    </row>
    <row r="477" spans="1:10" ht="17.25" thickBot="1" x14ac:dyDescent="0.35">
      <c r="A477" s="58" t="s">
        <v>497</v>
      </c>
      <c r="B477" s="59">
        <f t="shared" si="21"/>
        <v>0</v>
      </c>
      <c r="C477" s="59" t="str">
        <f t="shared" si="22"/>
        <v>Cesar</v>
      </c>
      <c r="D477" s="59" t="str">
        <f t="shared" si="23"/>
        <v>Tamalameque, Cesar</v>
      </c>
      <c r="E477" s="55">
        <v>20787</v>
      </c>
      <c r="F477" s="56">
        <v>0.15</v>
      </c>
      <c r="G477" s="56">
        <v>0.1</v>
      </c>
      <c r="H477" s="56" t="s">
        <v>36</v>
      </c>
      <c r="I477" s="56">
        <v>0.08</v>
      </c>
      <c r="J477" s="57">
        <v>0.04</v>
      </c>
    </row>
    <row r="478" spans="1:10" ht="17.25" thickBot="1" x14ac:dyDescent="0.35">
      <c r="A478" s="43" t="s">
        <v>498</v>
      </c>
      <c r="B478" s="44">
        <f t="shared" si="21"/>
        <v>1</v>
      </c>
      <c r="C478" s="44" t="str">
        <f t="shared" si="22"/>
        <v>Chocó</v>
      </c>
      <c r="D478" s="44" t="str">
        <f t="shared" si="23"/>
        <v/>
      </c>
      <c r="E478" s="45"/>
      <c r="F478" s="46"/>
      <c r="G478" s="46"/>
      <c r="H478" s="46"/>
      <c r="I478" s="46"/>
      <c r="J478" s="47"/>
    </row>
    <row r="479" spans="1:10" ht="17.25" thickBot="1" x14ac:dyDescent="0.35">
      <c r="A479" s="53" t="s">
        <v>499</v>
      </c>
      <c r="B479" s="54">
        <f t="shared" si="21"/>
        <v>0</v>
      </c>
      <c r="C479" s="54" t="str">
        <f t="shared" si="22"/>
        <v>Chocó</v>
      </c>
      <c r="D479" s="54" t="str">
        <f t="shared" si="23"/>
        <v>Quibdó, Chocó</v>
      </c>
      <c r="E479" s="55">
        <v>27001</v>
      </c>
      <c r="F479" s="56">
        <v>0.35</v>
      </c>
      <c r="G479" s="56">
        <v>0.35</v>
      </c>
      <c r="H479" s="56" t="s">
        <v>39</v>
      </c>
      <c r="I479" s="56">
        <v>0.25</v>
      </c>
      <c r="J479" s="57">
        <v>0.13</v>
      </c>
    </row>
    <row r="480" spans="1:10" ht="17.25" thickBot="1" x14ac:dyDescent="0.35">
      <c r="A480" s="58" t="s">
        <v>500</v>
      </c>
      <c r="B480" s="59">
        <f t="shared" si="21"/>
        <v>0</v>
      </c>
      <c r="C480" s="59" t="str">
        <f t="shared" si="22"/>
        <v>Chocó</v>
      </c>
      <c r="D480" s="59" t="str">
        <f t="shared" si="23"/>
        <v>Acandí, Chocó</v>
      </c>
      <c r="E480" s="55">
        <v>27006</v>
      </c>
      <c r="F480" s="56">
        <v>0.25</v>
      </c>
      <c r="G480" s="56">
        <v>0.25</v>
      </c>
      <c r="H480" s="56" t="s">
        <v>39</v>
      </c>
      <c r="I480" s="56">
        <v>0.09</v>
      </c>
      <c r="J480" s="57">
        <v>0.04</v>
      </c>
    </row>
    <row r="481" spans="1:10" ht="17.25" thickBot="1" x14ac:dyDescent="0.35">
      <c r="A481" s="58" t="s">
        <v>501</v>
      </c>
      <c r="B481" s="59">
        <f t="shared" si="21"/>
        <v>0</v>
      </c>
      <c r="C481" s="59" t="str">
        <f t="shared" si="22"/>
        <v>Chocó</v>
      </c>
      <c r="D481" s="59" t="str">
        <f t="shared" si="23"/>
        <v>Alto Baudó, Chocó</v>
      </c>
      <c r="E481" s="55">
        <v>27025</v>
      </c>
      <c r="F481" s="56">
        <v>0.4</v>
      </c>
      <c r="G481" s="56">
        <v>0.4</v>
      </c>
      <c r="H481" s="56" t="s">
        <v>39</v>
      </c>
      <c r="I481" s="56">
        <v>0.24</v>
      </c>
      <c r="J481" s="57">
        <v>0.1</v>
      </c>
    </row>
    <row r="482" spans="1:10" ht="17.25" thickBot="1" x14ac:dyDescent="0.35">
      <c r="A482" s="58" t="s">
        <v>502</v>
      </c>
      <c r="B482" s="59">
        <f t="shared" si="21"/>
        <v>0</v>
      </c>
      <c r="C482" s="59" t="str">
        <f t="shared" si="22"/>
        <v>Chocó</v>
      </c>
      <c r="D482" s="59" t="str">
        <f t="shared" si="23"/>
        <v>Atrato, Chocó</v>
      </c>
      <c r="E482" s="55">
        <v>27050</v>
      </c>
      <c r="F482" s="56">
        <v>0.35</v>
      </c>
      <c r="G482" s="56">
        <v>0.35</v>
      </c>
      <c r="H482" s="56" t="s">
        <v>39</v>
      </c>
      <c r="I482" s="56">
        <v>0.24</v>
      </c>
      <c r="J482" s="57">
        <v>0.1</v>
      </c>
    </row>
    <row r="483" spans="1:10" ht="17.25" thickBot="1" x14ac:dyDescent="0.35">
      <c r="A483" s="58" t="s">
        <v>503</v>
      </c>
      <c r="B483" s="59">
        <f t="shared" si="21"/>
        <v>0</v>
      </c>
      <c r="C483" s="59" t="str">
        <f t="shared" si="22"/>
        <v>Chocó</v>
      </c>
      <c r="D483" s="59" t="str">
        <f t="shared" si="23"/>
        <v>Bagadó, Chocó</v>
      </c>
      <c r="E483" s="55">
        <v>27073</v>
      </c>
      <c r="F483" s="56">
        <v>0.35</v>
      </c>
      <c r="G483" s="56">
        <v>0.3</v>
      </c>
      <c r="H483" s="56" t="s">
        <v>39</v>
      </c>
      <c r="I483" s="56">
        <v>0.24</v>
      </c>
      <c r="J483" s="57">
        <v>0.1</v>
      </c>
    </row>
    <row r="484" spans="1:10" ht="17.25" thickBot="1" x14ac:dyDescent="0.35">
      <c r="A484" s="58" t="s">
        <v>504</v>
      </c>
      <c r="B484" s="59">
        <f t="shared" si="21"/>
        <v>0</v>
      </c>
      <c r="C484" s="59" t="str">
        <f t="shared" si="22"/>
        <v>Chocó</v>
      </c>
      <c r="D484" s="59" t="str">
        <f t="shared" si="23"/>
        <v>Bahía Solano, Chocó</v>
      </c>
      <c r="E484" s="55">
        <v>27075</v>
      </c>
      <c r="F484" s="56">
        <v>0.45</v>
      </c>
      <c r="G484" s="56">
        <v>0.4</v>
      </c>
      <c r="H484" s="56" t="s">
        <v>39</v>
      </c>
      <c r="I484" s="56">
        <v>0.24</v>
      </c>
      <c r="J484" s="57">
        <v>0.1</v>
      </c>
    </row>
    <row r="485" spans="1:10" ht="17.25" thickBot="1" x14ac:dyDescent="0.35">
      <c r="A485" s="58" t="s">
        <v>505</v>
      </c>
      <c r="B485" s="59">
        <f t="shared" si="21"/>
        <v>0</v>
      </c>
      <c r="C485" s="59" t="str">
        <f t="shared" si="22"/>
        <v>Chocó</v>
      </c>
      <c r="D485" s="59" t="str">
        <f t="shared" si="23"/>
        <v>Bajo Baudó, Chocó</v>
      </c>
      <c r="E485" s="55">
        <v>27077</v>
      </c>
      <c r="F485" s="56">
        <v>0.45</v>
      </c>
      <c r="G485" s="56">
        <v>0.4</v>
      </c>
      <c r="H485" s="56" t="s">
        <v>39</v>
      </c>
      <c r="I485" s="56">
        <v>0.24</v>
      </c>
      <c r="J485" s="57">
        <v>0.1</v>
      </c>
    </row>
    <row r="486" spans="1:10" ht="17.25" thickBot="1" x14ac:dyDescent="0.35">
      <c r="A486" s="58" t="s">
        <v>506</v>
      </c>
      <c r="B486" s="59">
        <f t="shared" si="21"/>
        <v>0</v>
      </c>
      <c r="C486" s="59" t="str">
        <f t="shared" si="22"/>
        <v>Chocó</v>
      </c>
      <c r="D486" s="59" t="str">
        <f t="shared" si="23"/>
        <v>Belén De Bajirá, Chocó</v>
      </c>
      <c r="E486" s="55">
        <v>27086</v>
      </c>
      <c r="F486" s="56">
        <v>0.25</v>
      </c>
      <c r="G486" s="56">
        <v>0.3</v>
      </c>
      <c r="H486" s="56" t="s">
        <v>39</v>
      </c>
      <c r="I486" s="56">
        <v>0.24</v>
      </c>
      <c r="J486" s="57">
        <v>0.1</v>
      </c>
    </row>
    <row r="487" spans="1:10" ht="17.25" thickBot="1" x14ac:dyDescent="0.35">
      <c r="A487" s="58" t="s">
        <v>507</v>
      </c>
      <c r="B487" s="59">
        <f t="shared" si="21"/>
        <v>0</v>
      </c>
      <c r="C487" s="59" t="str">
        <f t="shared" si="22"/>
        <v>Chocó</v>
      </c>
      <c r="D487" s="59" t="str">
        <f t="shared" si="23"/>
        <v>Bojayá, Chocó</v>
      </c>
      <c r="E487" s="55">
        <v>27099</v>
      </c>
      <c r="F487" s="56">
        <v>0.4</v>
      </c>
      <c r="G487" s="56">
        <v>0.4</v>
      </c>
      <c r="H487" s="56" t="s">
        <v>39</v>
      </c>
      <c r="I487" s="56">
        <v>0.24</v>
      </c>
      <c r="J487" s="57">
        <v>0.1</v>
      </c>
    </row>
    <row r="488" spans="1:10" ht="17.25" thickBot="1" x14ac:dyDescent="0.35">
      <c r="A488" s="58" t="s">
        <v>508</v>
      </c>
      <c r="B488" s="59">
        <f t="shared" si="21"/>
        <v>0</v>
      </c>
      <c r="C488" s="59" t="str">
        <f t="shared" si="22"/>
        <v>Chocó</v>
      </c>
      <c r="D488" s="59" t="str">
        <f t="shared" si="23"/>
        <v>Cantón De San Pablo, Chocó</v>
      </c>
      <c r="E488" s="55">
        <v>27135</v>
      </c>
      <c r="F488" s="56">
        <v>0.4</v>
      </c>
      <c r="G488" s="56">
        <v>0.4</v>
      </c>
      <c r="H488" s="56" t="s">
        <v>39</v>
      </c>
      <c r="I488" s="56">
        <v>0.24</v>
      </c>
      <c r="J488" s="57">
        <v>0.1</v>
      </c>
    </row>
    <row r="489" spans="1:10" ht="17.25" thickBot="1" x14ac:dyDescent="0.35">
      <c r="A489" s="58" t="s">
        <v>509</v>
      </c>
      <c r="B489" s="59">
        <f t="shared" si="21"/>
        <v>0</v>
      </c>
      <c r="C489" s="59" t="str">
        <f t="shared" si="22"/>
        <v>Chocó</v>
      </c>
      <c r="D489" s="59" t="str">
        <f t="shared" si="23"/>
        <v>Carmen del Darién, Chocó</v>
      </c>
      <c r="E489" s="55">
        <v>27150</v>
      </c>
      <c r="F489" s="56">
        <v>0.35</v>
      </c>
      <c r="G489" s="56">
        <v>0.35</v>
      </c>
      <c r="H489" s="56" t="s">
        <v>39</v>
      </c>
      <c r="I489" s="56">
        <v>0.24</v>
      </c>
      <c r="J489" s="57">
        <v>0.1</v>
      </c>
    </row>
    <row r="490" spans="1:10" ht="17.25" thickBot="1" x14ac:dyDescent="0.35">
      <c r="A490" s="58" t="s">
        <v>510</v>
      </c>
      <c r="B490" s="59">
        <f t="shared" si="21"/>
        <v>0</v>
      </c>
      <c r="C490" s="59" t="str">
        <f t="shared" si="22"/>
        <v>Chocó</v>
      </c>
      <c r="D490" s="59" t="str">
        <f t="shared" si="23"/>
        <v>Certeguí, Chocó</v>
      </c>
      <c r="E490" s="55">
        <v>27160</v>
      </c>
      <c r="F490" s="56">
        <v>0.35</v>
      </c>
      <c r="G490" s="56">
        <v>0.35</v>
      </c>
      <c r="H490" s="56" t="s">
        <v>39</v>
      </c>
      <c r="I490" s="56">
        <v>0.24</v>
      </c>
      <c r="J490" s="57">
        <v>0.1</v>
      </c>
    </row>
    <row r="491" spans="1:10" ht="17.25" thickBot="1" x14ac:dyDescent="0.35">
      <c r="A491" s="58" t="s">
        <v>511</v>
      </c>
      <c r="B491" s="59">
        <f t="shared" si="21"/>
        <v>0</v>
      </c>
      <c r="C491" s="59" t="str">
        <f t="shared" si="22"/>
        <v>Chocó</v>
      </c>
      <c r="D491" s="59" t="str">
        <f t="shared" si="23"/>
        <v>Condoto, Chocó</v>
      </c>
      <c r="E491" s="55">
        <v>27205</v>
      </c>
      <c r="F491" s="56">
        <v>0.35</v>
      </c>
      <c r="G491" s="56">
        <v>0.35</v>
      </c>
      <c r="H491" s="56" t="s">
        <v>39</v>
      </c>
      <c r="I491" s="56">
        <v>0.24</v>
      </c>
      <c r="J491" s="57">
        <v>0.1</v>
      </c>
    </row>
    <row r="492" spans="1:10" ht="17.25" thickBot="1" x14ac:dyDescent="0.35">
      <c r="A492" s="58" t="s">
        <v>512</v>
      </c>
      <c r="B492" s="59">
        <f t="shared" si="21"/>
        <v>0</v>
      </c>
      <c r="C492" s="59" t="str">
        <f t="shared" si="22"/>
        <v>Chocó</v>
      </c>
      <c r="D492" s="59" t="str">
        <f t="shared" si="23"/>
        <v>El Carmen De Atrato, Chocó</v>
      </c>
      <c r="E492" s="55">
        <v>27245</v>
      </c>
      <c r="F492" s="56">
        <v>0.3</v>
      </c>
      <c r="G492" s="56">
        <v>0.3</v>
      </c>
      <c r="H492" s="56" t="s">
        <v>39</v>
      </c>
      <c r="I492" s="56">
        <v>0.24</v>
      </c>
      <c r="J492" s="57">
        <v>0.1</v>
      </c>
    </row>
    <row r="493" spans="1:10" ht="17.25" thickBot="1" x14ac:dyDescent="0.35">
      <c r="A493" s="58" t="s">
        <v>513</v>
      </c>
      <c r="B493" s="59">
        <f t="shared" si="21"/>
        <v>0</v>
      </c>
      <c r="C493" s="59" t="str">
        <f t="shared" si="22"/>
        <v>Chocó</v>
      </c>
      <c r="D493" s="59" t="str">
        <f t="shared" si="23"/>
        <v>El Litoral del San Juan, Chocó</v>
      </c>
      <c r="E493" s="55">
        <v>27250</v>
      </c>
      <c r="F493" s="56">
        <v>0.4</v>
      </c>
      <c r="G493" s="56">
        <v>0.4</v>
      </c>
      <c r="H493" s="56" t="s">
        <v>39</v>
      </c>
      <c r="I493" s="56">
        <v>0.2</v>
      </c>
      <c r="J493" s="57">
        <v>0.1</v>
      </c>
    </row>
    <row r="494" spans="1:10" ht="17.25" thickBot="1" x14ac:dyDescent="0.35">
      <c r="A494" s="58" t="s">
        <v>514</v>
      </c>
      <c r="B494" s="59">
        <f t="shared" si="21"/>
        <v>0</v>
      </c>
      <c r="C494" s="59" t="str">
        <f t="shared" si="22"/>
        <v>Chocó</v>
      </c>
      <c r="D494" s="59" t="str">
        <f t="shared" si="23"/>
        <v>Itsmína, Chocó</v>
      </c>
      <c r="E494" s="55">
        <v>27361</v>
      </c>
      <c r="F494" s="56">
        <v>0.4</v>
      </c>
      <c r="G494" s="56">
        <v>0.4</v>
      </c>
      <c r="H494" s="56" t="s">
        <v>39</v>
      </c>
      <c r="I494" s="56">
        <v>0.23</v>
      </c>
      <c r="J494" s="57">
        <v>0.1</v>
      </c>
    </row>
    <row r="495" spans="1:10" ht="17.25" thickBot="1" x14ac:dyDescent="0.35">
      <c r="A495" s="58" t="s">
        <v>515</v>
      </c>
      <c r="B495" s="59">
        <f t="shared" si="21"/>
        <v>0</v>
      </c>
      <c r="C495" s="59" t="str">
        <f t="shared" si="22"/>
        <v>Chocó</v>
      </c>
      <c r="D495" s="59" t="str">
        <f t="shared" si="23"/>
        <v>Juradó, Chocó</v>
      </c>
      <c r="E495" s="55">
        <v>27372</v>
      </c>
      <c r="F495" s="56">
        <v>0.4</v>
      </c>
      <c r="G495" s="56">
        <v>0.4</v>
      </c>
      <c r="H495" s="56" t="s">
        <v>39</v>
      </c>
      <c r="I495" s="56">
        <v>0.24</v>
      </c>
      <c r="J495" s="57">
        <v>0.1</v>
      </c>
    </row>
    <row r="496" spans="1:10" ht="17.25" thickBot="1" x14ac:dyDescent="0.35">
      <c r="A496" s="58" t="s">
        <v>516</v>
      </c>
      <c r="B496" s="59">
        <f t="shared" si="21"/>
        <v>0</v>
      </c>
      <c r="C496" s="59" t="str">
        <f t="shared" si="22"/>
        <v>Chocó</v>
      </c>
      <c r="D496" s="59" t="str">
        <f t="shared" si="23"/>
        <v>Lloró, Chocó</v>
      </c>
      <c r="E496" s="55">
        <v>27413</v>
      </c>
      <c r="F496" s="56">
        <v>0.25</v>
      </c>
      <c r="G496" s="56">
        <v>0.35</v>
      </c>
      <c r="H496" s="56" t="s">
        <v>39</v>
      </c>
      <c r="I496" s="56">
        <v>0.24</v>
      </c>
      <c r="J496" s="57">
        <v>0.1</v>
      </c>
    </row>
    <row r="497" spans="1:10" ht="17.25" thickBot="1" x14ac:dyDescent="0.35">
      <c r="A497" s="58" t="s">
        <v>517</v>
      </c>
      <c r="B497" s="59">
        <f t="shared" si="21"/>
        <v>0</v>
      </c>
      <c r="C497" s="59" t="str">
        <f t="shared" si="22"/>
        <v>Chocó</v>
      </c>
      <c r="D497" s="59" t="str">
        <f t="shared" si="23"/>
        <v>Medio Atrato, Chocó</v>
      </c>
      <c r="E497" s="55">
        <v>27425</v>
      </c>
      <c r="F497" s="56">
        <v>0.35</v>
      </c>
      <c r="G497" s="56">
        <v>0.35</v>
      </c>
      <c r="H497" s="56" t="s">
        <v>39</v>
      </c>
      <c r="I497" s="56">
        <v>0.24</v>
      </c>
      <c r="J497" s="57">
        <v>0.1</v>
      </c>
    </row>
    <row r="498" spans="1:10" ht="17.25" thickBot="1" x14ac:dyDescent="0.35">
      <c r="A498" s="58" t="s">
        <v>518</v>
      </c>
      <c r="B498" s="59">
        <f t="shared" si="21"/>
        <v>0</v>
      </c>
      <c r="C498" s="59" t="str">
        <f t="shared" si="22"/>
        <v>Chocó</v>
      </c>
      <c r="D498" s="59" t="str">
        <f t="shared" si="23"/>
        <v>Medio Baudó, Chocó</v>
      </c>
      <c r="E498" s="55">
        <v>27430</v>
      </c>
      <c r="F498" s="56">
        <v>0.45</v>
      </c>
      <c r="G498" s="56">
        <v>0.4</v>
      </c>
      <c r="H498" s="56" t="s">
        <v>39</v>
      </c>
      <c r="I498" s="56">
        <v>0.24</v>
      </c>
      <c r="J498" s="57">
        <v>0.1</v>
      </c>
    </row>
    <row r="499" spans="1:10" ht="17.25" thickBot="1" x14ac:dyDescent="0.35">
      <c r="A499" s="58" t="s">
        <v>519</v>
      </c>
      <c r="B499" s="59">
        <f t="shared" si="21"/>
        <v>0</v>
      </c>
      <c r="C499" s="59" t="str">
        <f t="shared" si="22"/>
        <v>Chocó</v>
      </c>
      <c r="D499" s="59" t="str">
        <f t="shared" si="23"/>
        <v>Medio San Juan, Chocó</v>
      </c>
      <c r="E499" s="55">
        <v>27450</v>
      </c>
      <c r="F499" s="56">
        <v>0.4</v>
      </c>
      <c r="G499" s="56">
        <v>0.4</v>
      </c>
      <c r="H499" s="56" t="s">
        <v>39</v>
      </c>
      <c r="I499" s="56">
        <v>0.24</v>
      </c>
      <c r="J499" s="57">
        <v>0.1</v>
      </c>
    </row>
    <row r="500" spans="1:10" ht="17.25" thickBot="1" x14ac:dyDescent="0.35">
      <c r="A500" s="58" t="s">
        <v>520</v>
      </c>
      <c r="B500" s="59">
        <f t="shared" si="21"/>
        <v>0</v>
      </c>
      <c r="C500" s="59" t="str">
        <f t="shared" si="22"/>
        <v>Chocó</v>
      </c>
      <c r="D500" s="59" t="str">
        <f t="shared" si="23"/>
        <v>Nóvita, Chocó</v>
      </c>
      <c r="E500" s="55">
        <v>27491</v>
      </c>
      <c r="F500" s="56">
        <v>0.4</v>
      </c>
      <c r="G500" s="56">
        <v>0.35</v>
      </c>
      <c r="H500" s="56" t="s">
        <v>39</v>
      </c>
      <c r="I500" s="56">
        <v>0.24</v>
      </c>
      <c r="J500" s="57">
        <v>0.1</v>
      </c>
    </row>
    <row r="501" spans="1:10" ht="17.25" thickBot="1" x14ac:dyDescent="0.35">
      <c r="A501" s="58" t="s">
        <v>521</v>
      </c>
      <c r="B501" s="59">
        <f t="shared" si="21"/>
        <v>0</v>
      </c>
      <c r="C501" s="59" t="str">
        <f t="shared" si="22"/>
        <v>Chocó</v>
      </c>
      <c r="D501" s="59" t="str">
        <f t="shared" si="23"/>
        <v>Nuquí, Chocó</v>
      </c>
      <c r="E501" s="55">
        <v>27495</v>
      </c>
      <c r="F501" s="56">
        <v>0.45</v>
      </c>
      <c r="G501" s="56">
        <v>0.4</v>
      </c>
      <c r="H501" s="56" t="s">
        <v>39</v>
      </c>
      <c r="I501" s="56">
        <v>0.24</v>
      </c>
      <c r="J501" s="57">
        <v>0.1</v>
      </c>
    </row>
    <row r="502" spans="1:10" ht="17.25" thickBot="1" x14ac:dyDescent="0.35">
      <c r="A502" s="58" t="s">
        <v>522</v>
      </c>
      <c r="B502" s="59">
        <f t="shared" si="21"/>
        <v>0</v>
      </c>
      <c r="C502" s="59" t="str">
        <f t="shared" si="22"/>
        <v>Chocó</v>
      </c>
      <c r="D502" s="59" t="str">
        <f t="shared" si="23"/>
        <v>Río Iro, Chocó</v>
      </c>
      <c r="E502" s="55">
        <v>27580</v>
      </c>
      <c r="F502" s="56">
        <v>0.35</v>
      </c>
      <c r="G502" s="56">
        <v>0.35</v>
      </c>
      <c r="H502" s="56" t="s">
        <v>39</v>
      </c>
      <c r="I502" s="56">
        <v>0.24</v>
      </c>
      <c r="J502" s="57">
        <v>0.1</v>
      </c>
    </row>
    <row r="503" spans="1:10" ht="17.25" thickBot="1" x14ac:dyDescent="0.35">
      <c r="A503" s="58" t="s">
        <v>523</v>
      </c>
      <c r="B503" s="59">
        <f t="shared" si="21"/>
        <v>0</v>
      </c>
      <c r="C503" s="59" t="str">
        <f t="shared" si="22"/>
        <v>Chocó</v>
      </c>
      <c r="D503" s="59" t="str">
        <f t="shared" si="23"/>
        <v>Río Quito, Chocó</v>
      </c>
      <c r="E503" s="55">
        <v>27600</v>
      </c>
      <c r="F503" s="56">
        <v>0.4</v>
      </c>
      <c r="G503" s="56">
        <v>0.4</v>
      </c>
      <c r="H503" s="56" t="s">
        <v>39</v>
      </c>
      <c r="I503" s="56">
        <v>0.24</v>
      </c>
      <c r="J503" s="57">
        <v>0.1</v>
      </c>
    </row>
    <row r="504" spans="1:10" ht="17.25" thickBot="1" x14ac:dyDescent="0.35">
      <c r="A504" s="58" t="s">
        <v>395</v>
      </c>
      <c r="B504" s="59">
        <f t="shared" si="21"/>
        <v>0</v>
      </c>
      <c r="C504" s="59" t="str">
        <f t="shared" si="22"/>
        <v>Chocó</v>
      </c>
      <c r="D504" s="59" t="str">
        <f t="shared" si="23"/>
        <v>Riosucio, Chocó</v>
      </c>
      <c r="E504" s="55">
        <v>27615</v>
      </c>
      <c r="F504" s="56">
        <v>0.35</v>
      </c>
      <c r="G504" s="56">
        <v>0.35</v>
      </c>
      <c r="H504" s="56" t="s">
        <v>39</v>
      </c>
      <c r="I504" s="56">
        <v>0.24</v>
      </c>
      <c r="J504" s="57">
        <v>0.1</v>
      </c>
    </row>
    <row r="505" spans="1:10" ht="17.25" thickBot="1" x14ac:dyDescent="0.35">
      <c r="A505" s="58" t="s">
        <v>524</v>
      </c>
      <c r="B505" s="59">
        <f t="shared" si="21"/>
        <v>0</v>
      </c>
      <c r="C505" s="59" t="str">
        <f t="shared" si="22"/>
        <v>Chocó</v>
      </c>
      <c r="D505" s="59" t="str">
        <f t="shared" si="23"/>
        <v>San José del Palmar, Chocó</v>
      </c>
      <c r="E505" s="55">
        <v>27660</v>
      </c>
      <c r="F505" s="56">
        <v>0.35</v>
      </c>
      <c r="G505" s="56">
        <v>0.3</v>
      </c>
      <c r="H505" s="56" t="s">
        <v>39</v>
      </c>
      <c r="I505" s="56">
        <v>0.24</v>
      </c>
      <c r="J505" s="57">
        <v>0.1</v>
      </c>
    </row>
    <row r="506" spans="1:10" ht="17.25" thickBot="1" x14ac:dyDescent="0.35">
      <c r="A506" s="58" t="s">
        <v>525</v>
      </c>
      <c r="B506" s="59">
        <f t="shared" si="21"/>
        <v>0</v>
      </c>
      <c r="C506" s="59" t="str">
        <f t="shared" si="22"/>
        <v>Chocó</v>
      </c>
      <c r="D506" s="59" t="str">
        <f t="shared" si="23"/>
        <v>Sipí, Chocó</v>
      </c>
      <c r="E506" s="55">
        <v>27745</v>
      </c>
      <c r="F506" s="56">
        <v>0.35</v>
      </c>
      <c r="G506" s="56">
        <v>0.35</v>
      </c>
      <c r="H506" s="56" t="s">
        <v>39</v>
      </c>
      <c r="I506" s="56">
        <v>0.24</v>
      </c>
      <c r="J506" s="57">
        <v>0.1</v>
      </c>
    </row>
    <row r="507" spans="1:10" ht="17.25" thickBot="1" x14ac:dyDescent="0.35">
      <c r="A507" s="58" t="s">
        <v>526</v>
      </c>
      <c r="B507" s="59">
        <f t="shared" si="21"/>
        <v>0</v>
      </c>
      <c r="C507" s="59" t="str">
        <f t="shared" si="22"/>
        <v>Chocó</v>
      </c>
      <c r="D507" s="59" t="str">
        <f t="shared" si="23"/>
        <v>Tadó, Chocó</v>
      </c>
      <c r="E507" s="55">
        <v>27787</v>
      </c>
      <c r="F507" s="56">
        <v>0.35</v>
      </c>
      <c r="G507" s="56">
        <v>0.35</v>
      </c>
      <c r="H507" s="56" t="s">
        <v>39</v>
      </c>
      <c r="I507" s="56">
        <v>0.24</v>
      </c>
      <c r="J507" s="57">
        <v>0.1</v>
      </c>
    </row>
    <row r="508" spans="1:10" ht="17.25" thickBot="1" x14ac:dyDescent="0.35">
      <c r="A508" s="58" t="s">
        <v>527</v>
      </c>
      <c r="B508" s="59">
        <f t="shared" si="21"/>
        <v>0</v>
      </c>
      <c r="C508" s="59" t="str">
        <f t="shared" si="22"/>
        <v>Chocó</v>
      </c>
      <c r="D508" s="59" t="str">
        <f t="shared" si="23"/>
        <v>Unguía, Chocó</v>
      </c>
      <c r="E508" s="55">
        <v>27800</v>
      </c>
      <c r="F508" s="56">
        <v>0.25</v>
      </c>
      <c r="G508" s="56">
        <v>0.25</v>
      </c>
      <c r="H508" s="56" t="s">
        <v>39</v>
      </c>
      <c r="I508" s="56">
        <v>0.15</v>
      </c>
      <c r="J508" s="57">
        <v>7.0000000000000007E-2</v>
      </c>
    </row>
    <row r="509" spans="1:10" ht="17.25" thickBot="1" x14ac:dyDescent="0.35">
      <c r="A509" s="58" t="s">
        <v>528</v>
      </c>
      <c r="B509" s="59">
        <f t="shared" si="21"/>
        <v>0</v>
      </c>
      <c r="C509" s="59" t="str">
        <f t="shared" si="22"/>
        <v>Chocó</v>
      </c>
      <c r="D509" s="59" t="str">
        <f t="shared" si="23"/>
        <v>Unión Panamericana, Chocó</v>
      </c>
      <c r="E509" s="55">
        <v>27810</v>
      </c>
      <c r="F509" s="56">
        <v>0.4</v>
      </c>
      <c r="G509" s="56">
        <v>0.4</v>
      </c>
      <c r="H509" s="56" t="s">
        <v>39</v>
      </c>
      <c r="I509" s="56">
        <v>0.24</v>
      </c>
      <c r="J509" s="57">
        <v>0.1</v>
      </c>
    </row>
    <row r="510" spans="1:10" ht="17.25" thickBot="1" x14ac:dyDescent="0.35">
      <c r="A510" s="43" t="s">
        <v>529</v>
      </c>
      <c r="B510" s="44">
        <f t="shared" si="21"/>
        <v>1</v>
      </c>
      <c r="C510" s="44" t="str">
        <f t="shared" si="22"/>
        <v>Córdoba</v>
      </c>
      <c r="D510" s="44" t="str">
        <f t="shared" si="23"/>
        <v/>
      </c>
      <c r="E510" s="45"/>
      <c r="F510" s="46"/>
      <c r="G510" s="46"/>
      <c r="H510" s="46"/>
      <c r="I510" s="46"/>
      <c r="J510" s="47"/>
    </row>
    <row r="511" spans="1:10" ht="17.25" thickBot="1" x14ac:dyDescent="0.35">
      <c r="A511" s="53" t="s">
        <v>530</v>
      </c>
      <c r="B511" s="54">
        <f t="shared" si="21"/>
        <v>0</v>
      </c>
      <c r="C511" s="54" t="str">
        <f t="shared" si="22"/>
        <v>Córdoba</v>
      </c>
      <c r="D511" s="54" t="str">
        <f t="shared" si="23"/>
        <v>Montería, Córdoba</v>
      </c>
      <c r="E511" s="55">
        <v>23001</v>
      </c>
      <c r="F511" s="56">
        <v>0.1</v>
      </c>
      <c r="G511" s="56">
        <v>0.15</v>
      </c>
      <c r="H511" s="56" t="s">
        <v>36</v>
      </c>
      <c r="I511" s="56">
        <v>7.0000000000000007E-2</v>
      </c>
      <c r="J511" s="57">
        <v>0.04</v>
      </c>
    </row>
    <row r="512" spans="1:10" ht="17.25" thickBot="1" x14ac:dyDescent="0.35">
      <c r="A512" s="58" t="s">
        <v>531</v>
      </c>
      <c r="B512" s="59">
        <f t="shared" si="21"/>
        <v>0</v>
      </c>
      <c r="C512" s="59" t="str">
        <f t="shared" si="22"/>
        <v>Córdoba</v>
      </c>
      <c r="D512" s="59" t="str">
        <f t="shared" si="23"/>
        <v>Ayapel, Córdoba</v>
      </c>
      <c r="E512" s="55">
        <v>23068</v>
      </c>
      <c r="F512" s="56">
        <v>0.15</v>
      </c>
      <c r="G512" s="56">
        <v>0.15</v>
      </c>
      <c r="H512" s="56" t="s">
        <v>36</v>
      </c>
      <c r="I512" s="56">
        <v>7.0000000000000007E-2</v>
      </c>
      <c r="J512" s="57">
        <v>0.04</v>
      </c>
    </row>
    <row r="513" spans="1:10" ht="17.25" thickBot="1" x14ac:dyDescent="0.35">
      <c r="A513" s="58" t="s">
        <v>266</v>
      </c>
      <c r="B513" s="59">
        <f t="shared" si="21"/>
        <v>0</v>
      </c>
      <c r="C513" s="59" t="str">
        <f t="shared" si="22"/>
        <v>Córdoba</v>
      </c>
      <c r="D513" s="59" t="str">
        <f t="shared" si="23"/>
        <v>Buenavista, Córdoba</v>
      </c>
      <c r="E513" s="55">
        <v>23079</v>
      </c>
      <c r="F513" s="56">
        <v>0.15</v>
      </c>
      <c r="G513" s="56">
        <v>0.2</v>
      </c>
      <c r="H513" s="56" t="s">
        <v>36</v>
      </c>
      <c r="I513" s="56">
        <v>0.08</v>
      </c>
      <c r="J513" s="57">
        <v>0.04</v>
      </c>
    </row>
    <row r="514" spans="1:10" ht="17.25" thickBot="1" x14ac:dyDescent="0.35">
      <c r="A514" s="58" t="s">
        <v>532</v>
      </c>
      <c r="B514" s="59">
        <f t="shared" si="21"/>
        <v>0</v>
      </c>
      <c r="C514" s="59" t="str">
        <f t="shared" si="22"/>
        <v>Córdoba</v>
      </c>
      <c r="D514" s="59" t="str">
        <f t="shared" si="23"/>
        <v>Canalete, Córdoba</v>
      </c>
      <c r="E514" s="55">
        <v>23090</v>
      </c>
      <c r="F514" s="56">
        <v>0.1</v>
      </c>
      <c r="G514" s="56">
        <v>0.2</v>
      </c>
      <c r="H514" s="56" t="s">
        <v>36</v>
      </c>
      <c r="I514" s="56">
        <v>0.08</v>
      </c>
      <c r="J514" s="57">
        <v>0.04</v>
      </c>
    </row>
    <row r="515" spans="1:10" ht="17.25" thickBot="1" x14ac:dyDescent="0.35">
      <c r="A515" s="58" t="s">
        <v>533</v>
      </c>
      <c r="B515" s="59">
        <f t="shared" ref="B515:B578" si="24">IFERROR(FIND("Departamento",A515),0)</f>
        <v>0</v>
      </c>
      <c r="C515" s="59" t="str">
        <f t="shared" ref="C515:C578" si="25">IF(B515=1,IF(ISERROR(FIND("del",A515)),MID(A515,17,30),MID(A515,18,30)),C514)</f>
        <v>Córdoba</v>
      </c>
      <c r="D515" s="59" t="str">
        <f t="shared" ref="D515:D578" si="26">IF(B515=1,"",CONCATENATE(A515,", ",C515))</f>
        <v>Cereté, Córdoba</v>
      </c>
      <c r="E515" s="55">
        <v>23162</v>
      </c>
      <c r="F515" s="56">
        <v>0.1</v>
      </c>
      <c r="G515" s="56">
        <v>0.15</v>
      </c>
      <c r="H515" s="56" t="s">
        <v>36</v>
      </c>
      <c r="I515" s="56">
        <v>0.06</v>
      </c>
      <c r="J515" s="57">
        <v>0.04</v>
      </c>
    </row>
    <row r="516" spans="1:10" ht="17.25" thickBot="1" x14ac:dyDescent="0.35">
      <c r="A516" s="58" t="s">
        <v>534</v>
      </c>
      <c r="B516" s="59">
        <f t="shared" si="24"/>
        <v>0</v>
      </c>
      <c r="C516" s="59" t="str">
        <f t="shared" si="25"/>
        <v>Córdoba</v>
      </c>
      <c r="D516" s="59" t="str">
        <f t="shared" si="26"/>
        <v>Chimá, Córdoba</v>
      </c>
      <c r="E516" s="55">
        <v>23168</v>
      </c>
      <c r="F516" s="56">
        <v>0.1</v>
      </c>
      <c r="G516" s="56">
        <v>0.15</v>
      </c>
      <c r="H516" s="56" t="s">
        <v>36</v>
      </c>
      <c r="I516" s="56">
        <v>7.0000000000000007E-2</v>
      </c>
      <c r="J516" s="57">
        <v>0.04</v>
      </c>
    </row>
    <row r="517" spans="1:10" ht="17.25" thickBot="1" x14ac:dyDescent="0.35">
      <c r="A517" s="58" t="s">
        <v>535</v>
      </c>
      <c r="B517" s="59">
        <f t="shared" si="24"/>
        <v>0</v>
      </c>
      <c r="C517" s="59" t="str">
        <f t="shared" si="25"/>
        <v>Córdoba</v>
      </c>
      <c r="D517" s="59" t="str">
        <f t="shared" si="26"/>
        <v>Chinú, Córdoba</v>
      </c>
      <c r="E517" s="55">
        <v>23182</v>
      </c>
      <c r="F517" s="56">
        <v>0.1</v>
      </c>
      <c r="G517" s="56">
        <v>0.15</v>
      </c>
      <c r="H517" s="56" t="s">
        <v>36</v>
      </c>
      <c r="I517" s="56">
        <v>0.08</v>
      </c>
      <c r="J517" s="57">
        <v>0.04</v>
      </c>
    </row>
    <row r="518" spans="1:10" ht="17.25" thickBot="1" x14ac:dyDescent="0.35">
      <c r="A518" s="58" t="s">
        <v>536</v>
      </c>
      <c r="B518" s="59">
        <f t="shared" si="24"/>
        <v>0</v>
      </c>
      <c r="C518" s="59" t="str">
        <f t="shared" si="25"/>
        <v>Córdoba</v>
      </c>
      <c r="D518" s="59" t="str">
        <f t="shared" si="26"/>
        <v>Ciénaga De Oro, Córdoba</v>
      </c>
      <c r="E518" s="55">
        <v>23189</v>
      </c>
      <c r="F518" s="56">
        <v>0.1</v>
      </c>
      <c r="G518" s="56">
        <v>0.15</v>
      </c>
      <c r="H518" s="56" t="s">
        <v>36</v>
      </c>
      <c r="I518" s="56">
        <v>0.08</v>
      </c>
      <c r="J518" s="57">
        <v>0.04</v>
      </c>
    </row>
    <row r="519" spans="1:10" ht="17.25" thickBot="1" x14ac:dyDescent="0.35">
      <c r="A519" s="58" t="s">
        <v>537</v>
      </c>
      <c r="B519" s="59">
        <f t="shared" si="24"/>
        <v>0</v>
      </c>
      <c r="C519" s="59" t="str">
        <f t="shared" si="25"/>
        <v>Córdoba</v>
      </c>
      <c r="D519" s="59" t="str">
        <f t="shared" si="26"/>
        <v>Cotorra, Córdoba</v>
      </c>
      <c r="E519" s="55">
        <v>23300</v>
      </c>
      <c r="F519" s="56">
        <v>0.1</v>
      </c>
      <c r="G519" s="56">
        <v>0.15</v>
      </c>
      <c r="H519" s="56" t="s">
        <v>36</v>
      </c>
      <c r="I519" s="56">
        <v>0.06</v>
      </c>
      <c r="J519" s="57">
        <v>0.03</v>
      </c>
    </row>
    <row r="520" spans="1:10" ht="17.25" thickBot="1" x14ac:dyDescent="0.35">
      <c r="A520" s="58" t="s">
        <v>538</v>
      </c>
      <c r="B520" s="59">
        <f t="shared" si="24"/>
        <v>0</v>
      </c>
      <c r="C520" s="59" t="str">
        <f t="shared" si="25"/>
        <v>Córdoba</v>
      </c>
      <c r="D520" s="59" t="str">
        <f t="shared" si="26"/>
        <v>La Apartada, Córdoba</v>
      </c>
      <c r="E520" s="55">
        <v>23350</v>
      </c>
      <c r="F520" s="56">
        <v>0.15</v>
      </c>
      <c r="G520" s="56">
        <v>0.2</v>
      </c>
      <c r="H520" s="56" t="s">
        <v>36</v>
      </c>
      <c r="I520" s="56">
        <v>0.08</v>
      </c>
      <c r="J520" s="57">
        <v>0.04</v>
      </c>
    </row>
    <row r="521" spans="1:10" ht="17.25" thickBot="1" x14ac:dyDescent="0.35">
      <c r="A521" s="58" t="s">
        <v>539</v>
      </c>
      <c r="B521" s="59">
        <f t="shared" si="24"/>
        <v>0</v>
      </c>
      <c r="C521" s="59" t="str">
        <f t="shared" si="25"/>
        <v>Córdoba</v>
      </c>
      <c r="D521" s="59" t="str">
        <f t="shared" si="26"/>
        <v>Lorica, Córdoba</v>
      </c>
      <c r="E521" s="55">
        <v>23417</v>
      </c>
      <c r="F521" s="56">
        <v>0.1</v>
      </c>
      <c r="G521" s="56">
        <v>0.15</v>
      </c>
      <c r="H521" s="56" t="s">
        <v>36</v>
      </c>
      <c r="I521" s="56">
        <v>0.05</v>
      </c>
      <c r="J521" s="57">
        <v>0.03</v>
      </c>
    </row>
    <row r="522" spans="1:10" ht="17.25" thickBot="1" x14ac:dyDescent="0.35">
      <c r="A522" s="58" t="s">
        <v>540</v>
      </c>
      <c r="B522" s="59">
        <f t="shared" si="24"/>
        <v>0</v>
      </c>
      <c r="C522" s="59" t="str">
        <f t="shared" si="25"/>
        <v>Córdoba</v>
      </c>
      <c r="D522" s="59" t="str">
        <f t="shared" si="26"/>
        <v>Los Córdobas, Córdoba</v>
      </c>
      <c r="E522" s="55">
        <v>23419</v>
      </c>
      <c r="F522" s="56">
        <v>0.1</v>
      </c>
      <c r="G522" s="56">
        <v>0.2</v>
      </c>
      <c r="H522" s="56" t="s">
        <v>36</v>
      </c>
      <c r="I522" s="56">
        <v>0.08</v>
      </c>
      <c r="J522" s="57">
        <v>0.05</v>
      </c>
    </row>
    <row r="523" spans="1:10" ht="17.25" thickBot="1" x14ac:dyDescent="0.35">
      <c r="A523" s="58" t="s">
        <v>541</v>
      </c>
      <c r="B523" s="59">
        <f t="shared" si="24"/>
        <v>0</v>
      </c>
      <c r="C523" s="59" t="str">
        <f t="shared" si="25"/>
        <v>Córdoba</v>
      </c>
      <c r="D523" s="59" t="str">
        <f t="shared" si="26"/>
        <v>Moñitos, Córdoba</v>
      </c>
      <c r="E523" s="55">
        <v>23500</v>
      </c>
      <c r="F523" s="56">
        <v>0.1</v>
      </c>
      <c r="G523" s="56">
        <v>0.15</v>
      </c>
      <c r="H523" s="56" t="s">
        <v>36</v>
      </c>
      <c r="I523" s="56">
        <v>0.05</v>
      </c>
      <c r="J523" s="57">
        <v>0.03</v>
      </c>
    </row>
    <row r="524" spans="1:10" ht="17.25" thickBot="1" x14ac:dyDescent="0.35">
      <c r="A524" s="58" t="s">
        <v>542</v>
      </c>
      <c r="B524" s="59">
        <f t="shared" si="24"/>
        <v>0</v>
      </c>
      <c r="C524" s="59" t="str">
        <f t="shared" si="25"/>
        <v>Córdoba</v>
      </c>
      <c r="D524" s="59" t="str">
        <f t="shared" si="26"/>
        <v>Momil, Córdoba</v>
      </c>
      <c r="E524" s="55">
        <v>23464</v>
      </c>
      <c r="F524" s="56">
        <v>0.1</v>
      </c>
      <c r="G524" s="56">
        <v>0.15</v>
      </c>
      <c r="H524" s="56" t="s">
        <v>36</v>
      </c>
      <c r="I524" s="56">
        <v>7.0000000000000007E-2</v>
      </c>
      <c r="J524" s="57">
        <v>0.03</v>
      </c>
    </row>
    <row r="525" spans="1:10" ht="17.25" thickBot="1" x14ac:dyDescent="0.35">
      <c r="A525" s="58" t="s">
        <v>543</v>
      </c>
      <c r="B525" s="59">
        <f t="shared" si="24"/>
        <v>0</v>
      </c>
      <c r="C525" s="59" t="str">
        <f t="shared" si="25"/>
        <v>Córdoba</v>
      </c>
      <c r="D525" s="59" t="str">
        <f t="shared" si="26"/>
        <v>Montelíbano, Córdoba</v>
      </c>
      <c r="E525" s="55">
        <v>23466</v>
      </c>
      <c r="F525" s="56">
        <v>0.15</v>
      </c>
      <c r="G525" s="56">
        <v>0.2</v>
      </c>
      <c r="H525" s="56" t="s">
        <v>36</v>
      </c>
      <c r="I525" s="56">
        <v>0.08</v>
      </c>
      <c r="J525" s="57">
        <v>0.04</v>
      </c>
    </row>
    <row r="526" spans="1:10" ht="17.25" thickBot="1" x14ac:dyDescent="0.35">
      <c r="A526" s="58" t="s">
        <v>544</v>
      </c>
      <c r="B526" s="59">
        <f t="shared" si="24"/>
        <v>0</v>
      </c>
      <c r="C526" s="59" t="str">
        <f t="shared" si="25"/>
        <v>Córdoba</v>
      </c>
      <c r="D526" s="59" t="str">
        <f t="shared" si="26"/>
        <v>Planeta Rica, Córdoba</v>
      </c>
      <c r="E526" s="55">
        <v>23555</v>
      </c>
      <c r="F526" s="56">
        <v>0.15</v>
      </c>
      <c r="G526" s="56">
        <v>0.2</v>
      </c>
      <c r="H526" s="56" t="s">
        <v>36</v>
      </c>
      <c r="I526" s="56">
        <v>0.08</v>
      </c>
      <c r="J526" s="57">
        <v>0.04</v>
      </c>
    </row>
    <row r="527" spans="1:10" ht="17.25" thickBot="1" x14ac:dyDescent="0.35">
      <c r="A527" s="58" t="s">
        <v>545</v>
      </c>
      <c r="B527" s="59">
        <f t="shared" si="24"/>
        <v>0</v>
      </c>
      <c r="C527" s="59" t="str">
        <f t="shared" si="25"/>
        <v>Córdoba</v>
      </c>
      <c r="D527" s="59" t="str">
        <f t="shared" si="26"/>
        <v>Pueblo Nuevo, Córdoba</v>
      </c>
      <c r="E527" s="55">
        <v>23570</v>
      </c>
      <c r="F527" s="56">
        <v>0.15</v>
      </c>
      <c r="G527" s="56">
        <v>0.15</v>
      </c>
      <c r="H527" s="56" t="s">
        <v>36</v>
      </c>
      <c r="I527" s="56">
        <v>0.08</v>
      </c>
      <c r="J527" s="57">
        <v>0.05</v>
      </c>
    </row>
    <row r="528" spans="1:10" ht="17.25" thickBot="1" x14ac:dyDescent="0.35">
      <c r="A528" s="58" t="s">
        <v>546</v>
      </c>
      <c r="B528" s="59">
        <f t="shared" si="24"/>
        <v>0</v>
      </c>
      <c r="C528" s="59" t="str">
        <f t="shared" si="25"/>
        <v>Córdoba</v>
      </c>
      <c r="D528" s="59" t="str">
        <f t="shared" si="26"/>
        <v>Puerto Escondido, Córdoba</v>
      </c>
      <c r="E528" s="55">
        <v>23574</v>
      </c>
      <c r="F528" s="56">
        <v>0.1</v>
      </c>
      <c r="G528" s="56">
        <v>0.2</v>
      </c>
      <c r="H528" s="56" t="s">
        <v>36</v>
      </c>
      <c r="I528" s="56">
        <v>0.06</v>
      </c>
      <c r="J528" s="57">
        <v>0.04</v>
      </c>
    </row>
    <row r="529" spans="1:10" ht="17.25" thickBot="1" x14ac:dyDescent="0.35">
      <c r="A529" s="58" t="s">
        <v>547</v>
      </c>
      <c r="B529" s="59">
        <f t="shared" si="24"/>
        <v>0</v>
      </c>
      <c r="C529" s="59" t="str">
        <f t="shared" si="25"/>
        <v>Córdoba</v>
      </c>
      <c r="D529" s="59" t="str">
        <f t="shared" si="26"/>
        <v>Puerto Libertador, Córdoba</v>
      </c>
      <c r="E529" s="55">
        <v>23580</v>
      </c>
      <c r="F529" s="56">
        <v>0.15</v>
      </c>
      <c r="G529" s="56">
        <v>0.2</v>
      </c>
      <c r="H529" s="56" t="s">
        <v>36</v>
      </c>
      <c r="I529" s="56">
        <v>0.08</v>
      </c>
      <c r="J529" s="57">
        <v>0.04</v>
      </c>
    </row>
    <row r="530" spans="1:10" ht="17.25" thickBot="1" x14ac:dyDescent="0.35">
      <c r="A530" s="58" t="s">
        <v>548</v>
      </c>
      <c r="B530" s="59">
        <f t="shared" si="24"/>
        <v>0</v>
      </c>
      <c r="C530" s="59" t="str">
        <f t="shared" si="25"/>
        <v>Córdoba</v>
      </c>
      <c r="D530" s="59" t="str">
        <f t="shared" si="26"/>
        <v>Purísima, Córdoba</v>
      </c>
      <c r="E530" s="55">
        <v>23586</v>
      </c>
      <c r="F530" s="56">
        <v>0.1</v>
      </c>
      <c r="G530" s="56">
        <v>0.15</v>
      </c>
      <c r="H530" s="56" t="s">
        <v>36</v>
      </c>
      <c r="I530" s="56">
        <v>0.06</v>
      </c>
      <c r="J530" s="57">
        <v>0.03</v>
      </c>
    </row>
    <row r="531" spans="1:10" ht="17.25" thickBot="1" x14ac:dyDescent="0.35">
      <c r="A531" s="58" t="s">
        <v>549</v>
      </c>
      <c r="B531" s="59">
        <f t="shared" si="24"/>
        <v>0</v>
      </c>
      <c r="C531" s="59" t="str">
        <f t="shared" si="25"/>
        <v>Córdoba</v>
      </c>
      <c r="D531" s="59" t="str">
        <f t="shared" si="26"/>
        <v>Sahagún, Córdoba</v>
      </c>
      <c r="E531" s="55">
        <v>23660</v>
      </c>
      <c r="F531" s="56">
        <v>0.15</v>
      </c>
      <c r="G531" s="56">
        <v>0.15</v>
      </c>
      <c r="H531" s="56" t="s">
        <v>36</v>
      </c>
      <c r="I531" s="56">
        <v>0.08</v>
      </c>
      <c r="J531" s="57">
        <v>0.04</v>
      </c>
    </row>
    <row r="532" spans="1:10" ht="17.25" thickBot="1" x14ac:dyDescent="0.35">
      <c r="A532" s="58" t="s">
        <v>550</v>
      </c>
      <c r="B532" s="59">
        <f t="shared" si="24"/>
        <v>0</v>
      </c>
      <c r="C532" s="59" t="str">
        <f t="shared" si="25"/>
        <v>Córdoba</v>
      </c>
      <c r="D532" s="59" t="str">
        <f t="shared" si="26"/>
        <v>San Andrés De Sotavento, Córdoba</v>
      </c>
      <c r="E532" s="55">
        <v>23670</v>
      </c>
      <c r="F532" s="56">
        <v>0.1</v>
      </c>
      <c r="G532" s="56">
        <v>0.15</v>
      </c>
      <c r="H532" s="56" t="s">
        <v>36</v>
      </c>
      <c r="I532" s="56">
        <v>0.08</v>
      </c>
      <c r="J532" s="57">
        <v>0.04</v>
      </c>
    </row>
    <row r="533" spans="1:10" ht="17.25" thickBot="1" x14ac:dyDescent="0.35">
      <c r="A533" s="58" t="s">
        <v>551</v>
      </c>
      <c r="B533" s="59">
        <f t="shared" si="24"/>
        <v>0</v>
      </c>
      <c r="C533" s="59" t="str">
        <f t="shared" si="25"/>
        <v>Córdoba</v>
      </c>
      <c r="D533" s="59" t="str">
        <f t="shared" si="26"/>
        <v>San Antero, Córdoba</v>
      </c>
      <c r="E533" s="55">
        <v>23672</v>
      </c>
      <c r="F533" s="56">
        <v>0.1</v>
      </c>
      <c r="G533" s="56">
        <v>0.15</v>
      </c>
      <c r="H533" s="56" t="s">
        <v>36</v>
      </c>
      <c r="I533" s="56">
        <v>0.05</v>
      </c>
      <c r="J533" s="57">
        <v>0.03</v>
      </c>
    </row>
    <row r="534" spans="1:10" ht="17.25" thickBot="1" x14ac:dyDescent="0.35">
      <c r="A534" s="58" t="s">
        <v>552</v>
      </c>
      <c r="B534" s="59">
        <f t="shared" si="24"/>
        <v>0</v>
      </c>
      <c r="C534" s="59" t="str">
        <f t="shared" si="25"/>
        <v>Córdoba</v>
      </c>
      <c r="D534" s="59" t="str">
        <f t="shared" si="26"/>
        <v>San Bernardo del Viento, Córdoba</v>
      </c>
      <c r="E534" s="55">
        <v>23675</v>
      </c>
      <c r="F534" s="56">
        <v>0.1</v>
      </c>
      <c r="G534" s="56">
        <v>0.15</v>
      </c>
      <c r="H534" s="56" t="s">
        <v>36</v>
      </c>
      <c r="I534" s="56">
        <v>0.05</v>
      </c>
      <c r="J534" s="57">
        <v>0.03</v>
      </c>
    </row>
    <row r="535" spans="1:10" ht="17.25" thickBot="1" x14ac:dyDescent="0.35">
      <c r="A535" s="58" t="s">
        <v>143</v>
      </c>
      <c r="B535" s="59">
        <f t="shared" si="24"/>
        <v>0</v>
      </c>
      <c r="C535" s="59" t="str">
        <f t="shared" si="25"/>
        <v>Córdoba</v>
      </c>
      <c r="D535" s="59" t="str">
        <f t="shared" si="26"/>
        <v>San Carlos, Córdoba</v>
      </c>
      <c r="E535" s="55">
        <v>23678</v>
      </c>
      <c r="F535" s="56">
        <v>0.1</v>
      </c>
      <c r="G535" s="56">
        <v>0.15</v>
      </c>
      <c r="H535" s="56" t="s">
        <v>36</v>
      </c>
      <c r="I535" s="56">
        <v>0.08</v>
      </c>
      <c r="J535" s="57">
        <v>0.04</v>
      </c>
    </row>
    <row r="536" spans="1:10" ht="17.25" thickBot="1" x14ac:dyDescent="0.35">
      <c r="A536" s="58" t="s">
        <v>553</v>
      </c>
      <c r="B536" s="59">
        <f t="shared" si="24"/>
        <v>0</v>
      </c>
      <c r="C536" s="59" t="str">
        <f t="shared" si="25"/>
        <v>Córdoba</v>
      </c>
      <c r="D536" s="59" t="str">
        <f t="shared" si="26"/>
        <v>San Pelayo, Córdoba</v>
      </c>
      <c r="E536" s="55">
        <v>23686</v>
      </c>
      <c r="F536" s="56">
        <v>0.1</v>
      </c>
      <c r="G536" s="56">
        <v>0.15</v>
      </c>
      <c r="H536" s="56" t="s">
        <v>36</v>
      </c>
      <c r="I536" s="56">
        <v>0.06</v>
      </c>
      <c r="J536" s="57">
        <v>0.03</v>
      </c>
    </row>
    <row r="537" spans="1:10" ht="17.25" thickBot="1" x14ac:dyDescent="0.35">
      <c r="A537" s="58" t="s">
        <v>554</v>
      </c>
      <c r="B537" s="59">
        <f t="shared" si="24"/>
        <v>0</v>
      </c>
      <c r="C537" s="59" t="str">
        <f t="shared" si="25"/>
        <v>Córdoba</v>
      </c>
      <c r="D537" s="59" t="str">
        <f t="shared" si="26"/>
        <v>Tierralta, Córdoba</v>
      </c>
      <c r="E537" s="55">
        <v>23807</v>
      </c>
      <c r="F537" s="56">
        <v>0.2</v>
      </c>
      <c r="G537" s="56">
        <v>0.2</v>
      </c>
      <c r="H537" s="56" t="s">
        <v>36</v>
      </c>
      <c r="I537" s="56">
        <v>0.08</v>
      </c>
      <c r="J537" s="57">
        <v>0.04</v>
      </c>
    </row>
    <row r="538" spans="1:10" ht="17.25" thickBot="1" x14ac:dyDescent="0.35">
      <c r="A538" s="58" t="s">
        <v>555</v>
      </c>
      <c r="B538" s="59">
        <f t="shared" si="24"/>
        <v>0</v>
      </c>
      <c r="C538" s="59" t="str">
        <f t="shared" si="25"/>
        <v>Córdoba</v>
      </c>
      <c r="D538" s="59" t="str">
        <f t="shared" si="26"/>
        <v>Valencia, Córdoba</v>
      </c>
      <c r="E538" s="55">
        <v>23855</v>
      </c>
      <c r="F538" s="56">
        <v>0.15</v>
      </c>
      <c r="G538" s="56">
        <v>0.2</v>
      </c>
      <c r="H538" s="56" t="s">
        <v>36</v>
      </c>
      <c r="I538" s="56">
        <v>0.08</v>
      </c>
      <c r="J538" s="57">
        <v>0.04</v>
      </c>
    </row>
    <row r="539" spans="1:10" ht="17.25" thickBot="1" x14ac:dyDescent="0.35">
      <c r="A539" s="43" t="s">
        <v>556</v>
      </c>
      <c r="B539" s="44">
        <f t="shared" si="24"/>
        <v>1</v>
      </c>
      <c r="C539" s="44" t="str">
        <f t="shared" si="25"/>
        <v>Cundinamarca</v>
      </c>
      <c r="D539" s="44" t="str">
        <f t="shared" si="26"/>
        <v/>
      </c>
      <c r="E539" s="45"/>
      <c r="F539" s="46"/>
      <c r="G539" s="46"/>
      <c r="H539" s="46"/>
      <c r="I539" s="46"/>
      <c r="J539" s="47"/>
    </row>
    <row r="540" spans="1:10" ht="17.25" thickBot="1" x14ac:dyDescent="0.35">
      <c r="A540" s="53" t="s">
        <v>557</v>
      </c>
      <c r="B540" s="54">
        <f t="shared" si="24"/>
        <v>0</v>
      </c>
      <c r="C540" s="54" t="str">
        <f t="shared" si="25"/>
        <v>Cundinamarca</v>
      </c>
      <c r="D540" s="54" t="str">
        <f t="shared" si="26"/>
        <v>Bogotá D.C., Cundinamarca</v>
      </c>
      <c r="E540" s="55">
        <v>11001</v>
      </c>
      <c r="F540" s="56">
        <v>0.15</v>
      </c>
      <c r="G540" s="56">
        <v>0.2</v>
      </c>
      <c r="H540" s="56" t="s">
        <v>36</v>
      </c>
      <c r="I540" s="56">
        <v>0.13</v>
      </c>
      <c r="J540" s="57">
        <v>0.06</v>
      </c>
    </row>
    <row r="541" spans="1:10" ht="17.25" thickBot="1" x14ac:dyDescent="0.35">
      <c r="A541" s="58" t="s">
        <v>558</v>
      </c>
      <c r="B541" s="59">
        <f t="shared" si="24"/>
        <v>0</v>
      </c>
      <c r="C541" s="59" t="str">
        <f t="shared" si="25"/>
        <v>Cundinamarca</v>
      </c>
      <c r="D541" s="59" t="str">
        <f t="shared" si="26"/>
        <v>Agua De Dios, Cundinamarca</v>
      </c>
      <c r="E541" s="55">
        <v>25001</v>
      </c>
      <c r="F541" s="56">
        <v>0.2</v>
      </c>
      <c r="G541" s="56">
        <v>0.2</v>
      </c>
      <c r="H541" s="56" t="s">
        <v>36</v>
      </c>
      <c r="I541" s="56">
        <v>0.11</v>
      </c>
      <c r="J541" s="57">
        <v>0.06</v>
      </c>
    </row>
    <row r="542" spans="1:10" ht="17.25" thickBot="1" x14ac:dyDescent="0.35">
      <c r="A542" s="58" t="s">
        <v>559</v>
      </c>
      <c r="B542" s="59">
        <f t="shared" si="24"/>
        <v>0</v>
      </c>
      <c r="C542" s="59" t="str">
        <f t="shared" si="25"/>
        <v>Cundinamarca</v>
      </c>
      <c r="D542" s="59" t="str">
        <f t="shared" si="26"/>
        <v>Albán, Cundinamarca</v>
      </c>
      <c r="E542" s="55">
        <v>25019</v>
      </c>
      <c r="F542" s="56">
        <v>0.15</v>
      </c>
      <c r="G542" s="56">
        <v>0.2</v>
      </c>
      <c r="H542" s="56" t="s">
        <v>36</v>
      </c>
      <c r="I542" s="56">
        <v>0.16</v>
      </c>
      <c r="J542" s="57">
        <v>0.06</v>
      </c>
    </row>
    <row r="543" spans="1:10" ht="17.25" thickBot="1" x14ac:dyDescent="0.35">
      <c r="A543" s="58" t="s">
        <v>560</v>
      </c>
      <c r="B543" s="59">
        <f t="shared" si="24"/>
        <v>0</v>
      </c>
      <c r="C543" s="59" t="str">
        <f t="shared" si="25"/>
        <v>Cundinamarca</v>
      </c>
      <c r="D543" s="59" t="str">
        <f t="shared" si="26"/>
        <v>Anapóima, Cundinamarca</v>
      </c>
      <c r="E543" s="55">
        <v>25035</v>
      </c>
      <c r="F543" s="56">
        <v>0.15</v>
      </c>
      <c r="G543" s="56">
        <v>0.2</v>
      </c>
      <c r="H543" s="56" t="s">
        <v>36</v>
      </c>
      <c r="I543" s="56">
        <v>0.13</v>
      </c>
      <c r="J543" s="57">
        <v>0.06</v>
      </c>
    </row>
    <row r="544" spans="1:10" ht="17.25" thickBot="1" x14ac:dyDescent="0.35">
      <c r="A544" s="58" t="s">
        <v>561</v>
      </c>
      <c r="B544" s="59">
        <f t="shared" si="24"/>
        <v>0</v>
      </c>
      <c r="C544" s="59" t="str">
        <f t="shared" si="25"/>
        <v>Cundinamarca</v>
      </c>
      <c r="D544" s="59" t="str">
        <f t="shared" si="26"/>
        <v>Anolaima, Cundinamarca</v>
      </c>
      <c r="E544" s="55">
        <v>25040</v>
      </c>
      <c r="F544" s="56">
        <v>0.15</v>
      </c>
      <c r="G544" s="56">
        <v>0.2</v>
      </c>
      <c r="H544" s="56" t="s">
        <v>36</v>
      </c>
      <c r="I544" s="56">
        <v>0.16</v>
      </c>
      <c r="J544" s="57">
        <v>0.06</v>
      </c>
    </row>
    <row r="545" spans="1:10" ht="17.25" thickBot="1" x14ac:dyDescent="0.35">
      <c r="A545" s="58" t="s">
        <v>562</v>
      </c>
      <c r="B545" s="59">
        <f t="shared" si="24"/>
        <v>0</v>
      </c>
      <c r="C545" s="59" t="str">
        <f t="shared" si="25"/>
        <v>Cundinamarca</v>
      </c>
      <c r="D545" s="59" t="str">
        <f t="shared" si="26"/>
        <v>Apulo, Cundinamarca</v>
      </c>
      <c r="E545" s="55">
        <v>25599</v>
      </c>
      <c r="F545" s="56">
        <v>0.2</v>
      </c>
      <c r="G545" s="56">
        <v>0.2</v>
      </c>
      <c r="H545" s="56" t="s">
        <v>36</v>
      </c>
      <c r="I545" s="56">
        <v>0.12</v>
      </c>
      <c r="J545" s="57">
        <v>0.06</v>
      </c>
    </row>
    <row r="546" spans="1:10" ht="17.25" thickBot="1" x14ac:dyDescent="0.35">
      <c r="A546" s="58" t="s">
        <v>563</v>
      </c>
      <c r="B546" s="59">
        <f t="shared" si="24"/>
        <v>0</v>
      </c>
      <c r="C546" s="59" t="str">
        <f t="shared" si="25"/>
        <v>Cundinamarca</v>
      </c>
      <c r="D546" s="59" t="str">
        <f t="shared" si="26"/>
        <v>Arbeláez, Cundinamarca</v>
      </c>
      <c r="E546" s="55">
        <v>25053</v>
      </c>
      <c r="F546" s="56">
        <v>0.2</v>
      </c>
      <c r="G546" s="56">
        <v>0.2</v>
      </c>
      <c r="H546" s="56" t="s">
        <v>36</v>
      </c>
      <c r="I546" s="56">
        <v>0.09</v>
      </c>
      <c r="J546" s="57">
        <v>0.05</v>
      </c>
    </row>
    <row r="547" spans="1:10" ht="17.25" thickBot="1" x14ac:dyDescent="0.35">
      <c r="A547" s="58" t="s">
        <v>564</v>
      </c>
      <c r="B547" s="59">
        <f t="shared" si="24"/>
        <v>0</v>
      </c>
      <c r="C547" s="59" t="str">
        <f t="shared" si="25"/>
        <v>Cundinamarca</v>
      </c>
      <c r="D547" s="59" t="str">
        <f t="shared" si="26"/>
        <v>Beltrán, Cundinamarca</v>
      </c>
      <c r="E547" s="55">
        <v>25086</v>
      </c>
      <c r="F547" s="56">
        <v>0.2</v>
      </c>
      <c r="G547" s="56">
        <v>0.2</v>
      </c>
      <c r="H547" s="56" t="s">
        <v>36</v>
      </c>
      <c r="I547" s="56">
        <v>0.13</v>
      </c>
      <c r="J547" s="57">
        <v>0.06</v>
      </c>
    </row>
    <row r="548" spans="1:10" ht="17.25" thickBot="1" x14ac:dyDescent="0.35">
      <c r="A548" s="58" t="s">
        <v>565</v>
      </c>
      <c r="B548" s="59">
        <f t="shared" si="24"/>
        <v>0</v>
      </c>
      <c r="C548" s="59" t="str">
        <f t="shared" si="25"/>
        <v>Cundinamarca</v>
      </c>
      <c r="D548" s="59" t="str">
        <f t="shared" si="26"/>
        <v>Bituima, Cundinamarca</v>
      </c>
      <c r="E548" s="55">
        <v>25095</v>
      </c>
      <c r="F548" s="56">
        <v>0.15</v>
      </c>
      <c r="G548" s="56">
        <v>0.2</v>
      </c>
      <c r="H548" s="56" t="s">
        <v>36</v>
      </c>
      <c r="I548" s="56">
        <v>0.16</v>
      </c>
      <c r="J548" s="57">
        <v>0.06</v>
      </c>
    </row>
    <row r="549" spans="1:10" ht="17.25" thickBot="1" x14ac:dyDescent="0.35">
      <c r="A549" s="58" t="s">
        <v>566</v>
      </c>
      <c r="B549" s="59">
        <f t="shared" si="24"/>
        <v>0</v>
      </c>
      <c r="C549" s="59" t="str">
        <f t="shared" si="25"/>
        <v>Cundinamarca</v>
      </c>
      <c r="D549" s="59" t="str">
        <f t="shared" si="26"/>
        <v>Bojacá, Cundinamarca</v>
      </c>
      <c r="E549" s="55">
        <v>25099</v>
      </c>
      <c r="F549" s="56">
        <v>0.15</v>
      </c>
      <c r="G549" s="56">
        <v>0.2</v>
      </c>
      <c r="H549" s="56" t="s">
        <v>36</v>
      </c>
      <c r="I549" s="56">
        <v>0.11</v>
      </c>
      <c r="J549" s="57">
        <v>0.06</v>
      </c>
    </row>
    <row r="550" spans="1:10" ht="17.25" thickBot="1" x14ac:dyDescent="0.35">
      <c r="A550" s="58" t="s">
        <v>567</v>
      </c>
      <c r="B550" s="59">
        <f t="shared" si="24"/>
        <v>0</v>
      </c>
      <c r="C550" s="59" t="str">
        <f t="shared" si="25"/>
        <v>Cundinamarca</v>
      </c>
      <c r="D550" s="59" t="str">
        <f t="shared" si="26"/>
        <v>Cabrera, Cundinamarca</v>
      </c>
      <c r="E550" s="55">
        <v>25120</v>
      </c>
      <c r="F550" s="56">
        <v>0.25</v>
      </c>
      <c r="G550" s="56">
        <v>0.25</v>
      </c>
      <c r="H550" s="56" t="s">
        <v>39</v>
      </c>
      <c r="I550" s="56">
        <v>0.12</v>
      </c>
      <c r="J550" s="57">
        <v>0.06</v>
      </c>
    </row>
    <row r="551" spans="1:10" ht="17.25" thickBot="1" x14ac:dyDescent="0.35">
      <c r="A551" s="58" t="s">
        <v>568</v>
      </c>
      <c r="B551" s="59">
        <f t="shared" si="24"/>
        <v>0</v>
      </c>
      <c r="C551" s="59" t="str">
        <f t="shared" si="25"/>
        <v>Cundinamarca</v>
      </c>
      <c r="D551" s="59" t="str">
        <f t="shared" si="26"/>
        <v>Cachipay, Cundinamarca</v>
      </c>
      <c r="E551" s="55">
        <v>25123</v>
      </c>
      <c r="F551" s="56">
        <v>0.15</v>
      </c>
      <c r="G551" s="56">
        <v>0.2</v>
      </c>
      <c r="H551" s="56" t="s">
        <v>36</v>
      </c>
      <c r="I551" s="56">
        <v>0.15</v>
      </c>
      <c r="J551" s="57">
        <v>0.06</v>
      </c>
    </row>
    <row r="552" spans="1:10" ht="17.25" thickBot="1" x14ac:dyDescent="0.35">
      <c r="A552" s="58" t="s">
        <v>569</v>
      </c>
      <c r="B552" s="59">
        <f t="shared" si="24"/>
        <v>0</v>
      </c>
      <c r="C552" s="59" t="str">
        <f t="shared" si="25"/>
        <v>Cundinamarca</v>
      </c>
      <c r="D552" s="59" t="str">
        <f t="shared" si="26"/>
        <v>Cajicá, Cundinamarca</v>
      </c>
      <c r="E552" s="55">
        <v>25126</v>
      </c>
      <c r="F552" s="56">
        <v>0.15</v>
      </c>
      <c r="G552" s="56">
        <v>0.2</v>
      </c>
      <c r="H552" s="56" t="s">
        <v>36</v>
      </c>
      <c r="I552" s="56">
        <v>0.09</v>
      </c>
      <c r="J552" s="57">
        <v>0.05</v>
      </c>
    </row>
    <row r="553" spans="1:10" ht="17.25" thickBot="1" x14ac:dyDescent="0.35">
      <c r="A553" s="58" t="s">
        <v>570</v>
      </c>
      <c r="B553" s="59">
        <f t="shared" si="24"/>
        <v>0</v>
      </c>
      <c r="C553" s="59" t="str">
        <f t="shared" si="25"/>
        <v>Cundinamarca</v>
      </c>
      <c r="D553" s="59" t="str">
        <f t="shared" si="26"/>
        <v>Caparrapí, Cundinamarca</v>
      </c>
      <c r="E553" s="55">
        <v>25148</v>
      </c>
      <c r="F553" s="56">
        <v>0.15</v>
      </c>
      <c r="G553" s="56">
        <v>0.2</v>
      </c>
      <c r="H553" s="56" t="s">
        <v>36</v>
      </c>
      <c r="I553" s="56">
        <v>0.15</v>
      </c>
      <c r="J553" s="57">
        <v>0.06</v>
      </c>
    </row>
    <row r="554" spans="1:10" ht="17.25" thickBot="1" x14ac:dyDescent="0.35">
      <c r="A554" s="58" t="s">
        <v>571</v>
      </c>
      <c r="B554" s="59">
        <f t="shared" si="24"/>
        <v>0</v>
      </c>
      <c r="C554" s="59" t="str">
        <f t="shared" si="25"/>
        <v>Cundinamarca</v>
      </c>
      <c r="D554" s="59" t="str">
        <f t="shared" si="26"/>
        <v>Cáqueza, Cundinamarca</v>
      </c>
      <c r="E554" s="55">
        <v>25151</v>
      </c>
      <c r="F554" s="56">
        <v>0.25</v>
      </c>
      <c r="G554" s="56">
        <v>0.25</v>
      </c>
      <c r="H554" s="56" t="s">
        <v>39</v>
      </c>
      <c r="I554" s="56">
        <v>0.15</v>
      </c>
      <c r="J554" s="57">
        <v>0.06</v>
      </c>
    </row>
    <row r="555" spans="1:10" ht="17.25" thickBot="1" x14ac:dyDescent="0.35">
      <c r="A555" s="58" t="s">
        <v>572</v>
      </c>
      <c r="B555" s="59">
        <f t="shared" si="24"/>
        <v>0</v>
      </c>
      <c r="C555" s="59" t="str">
        <f t="shared" si="25"/>
        <v>Cundinamarca</v>
      </c>
      <c r="D555" s="59" t="str">
        <f t="shared" si="26"/>
        <v>Carmen De Carupa, Cundinamarca</v>
      </c>
      <c r="E555" s="55">
        <v>25154</v>
      </c>
      <c r="F555" s="56">
        <v>0.15</v>
      </c>
      <c r="G555" s="56">
        <v>0.15</v>
      </c>
      <c r="H555" s="56" t="s">
        <v>36</v>
      </c>
      <c r="I555" s="56">
        <v>0.09</v>
      </c>
      <c r="J555" s="57">
        <v>0.05</v>
      </c>
    </row>
    <row r="556" spans="1:10" ht="17.25" thickBot="1" x14ac:dyDescent="0.35">
      <c r="A556" s="58" t="s">
        <v>573</v>
      </c>
      <c r="B556" s="59">
        <f t="shared" si="24"/>
        <v>0</v>
      </c>
      <c r="C556" s="59" t="str">
        <f t="shared" si="25"/>
        <v>Cundinamarca</v>
      </c>
      <c r="D556" s="59" t="str">
        <f t="shared" si="26"/>
        <v>Chaguaní, Cundinamarca</v>
      </c>
      <c r="E556" s="55">
        <v>25168</v>
      </c>
      <c r="F556" s="56">
        <v>0.15</v>
      </c>
      <c r="G556" s="56">
        <v>0.2</v>
      </c>
      <c r="H556" s="56" t="s">
        <v>36</v>
      </c>
      <c r="I556" s="56">
        <v>0.16</v>
      </c>
      <c r="J556" s="57">
        <v>0.06</v>
      </c>
    </row>
    <row r="557" spans="1:10" ht="17.25" thickBot="1" x14ac:dyDescent="0.35">
      <c r="A557" s="58" t="s">
        <v>574</v>
      </c>
      <c r="B557" s="59">
        <f t="shared" si="24"/>
        <v>0</v>
      </c>
      <c r="C557" s="59" t="str">
        <f t="shared" si="25"/>
        <v>Cundinamarca</v>
      </c>
      <c r="D557" s="59" t="str">
        <f t="shared" si="26"/>
        <v>Chía, Cundinamarca</v>
      </c>
      <c r="E557" s="55">
        <v>25175</v>
      </c>
      <c r="F557" s="56">
        <v>0.15</v>
      </c>
      <c r="G557" s="56">
        <v>0.2</v>
      </c>
      <c r="H557" s="56" t="s">
        <v>36</v>
      </c>
      <c r="I557" s="56">
        <v>0.09</v>
      </c>
      <c r="J557" s="57">
        <v>0.05</v>
      </c>
    </row>
    <row r="558" spans="1:10" ht="17.25" thickBot="1" x14ac:dyDescent="0.35">
      <c r="A558" s="58" t="s">
        <v>575</v>
      </c>
      <c r="B558" s="59">
        <f t="shared" si="24"/>
        <v>0</v>
      </c>
      <c r="C558" s="59" t="str">
        <f t="shared" si="25"/>
        <v>Cundinamarca</v>
      </c>
      <c r="D558" s="59" t="str">
        <f t="shared" si="26"/>
        <v>Chipaque, Cundinamarca</v>
      </c>
      <c r="E558" s="55">
        <v>25178</v>
      </c>
      <c r="F558" s="56">
        <v>0.2</v>
      </c>
      <c r="G558" s="56">
        <v>0.25</v>
      </c>
      <c r="H558" s="56" t="s">
        <v>39</v>
      </c>
      <c r="I558" s="56">
        <v>0.11</v>
      </c>
      <c r="J558" s="57">
        <v>0.05</v>
      </c>
    </row>
    <row r="559" spans="1:10" ht="17.25" thickBot="1" x14ac:dyDescent="0.35">
      <c r="A559" s="58" t="s">
        <v>576</v>
      </c>
      <c r="B559" s="59">
        <f t="shared" si="24"/>
        <v>0</v>
      </c>
      <c r="C559" s="59" t="str">
        <f t="shared" si="25"/>
        <v>Cundinamarca</v>
      </c>
      <c r="D559" s="59" t="str">
        <f t="shared" si="26"/>
        <v>Choachí, Cundinamarca</v>
      </c>
      <c r="E559" s="55">
        <v>25181</v>
      </c>
      <c r="F559" s="56">
        <v>0.2</v>
      </c>
      <c r="G559" s="56">
        <v>0.25</v>
      </c>
      <c r="H559" s="56" t="s">
        <v>39</v>
      </c>
      <c r="I559" s="56">
        <v>0.12</v>
      </c>
      <c r="J559" s="57">
        <v>0.06</v>
      </c>
    </row>
    <row r="560" spans="1:10" ht="17.25" thickBot="1" x14ac:dyDescent="0.35">
      <c r="A560" s="58" t="s">
        <v>577</v>
      </c>
      <c r="B560" s="59">
        <f t="shared" si="24"/>
        <v>0</v>
      </c>
      <c r="C560" s="59" t="str">
        <f t="shared" si="25"/>
        <v>Cundinamarca</v>
      </c>
      <c r="D560" s="59" t="str">
        <f t="shared" si="26"/>
        <v>Chocontá, Cundinamarca</v>
      </c>
      <c r="E560" s="55">
        <v>25183</v>
      </c>
      <c r="F560" s="56">
        <v>0.15</v>
      </c>
      <c r="G560" s="56">
        <v>0.2</v>
      </c>
      <c r="H560" s="56" t="s">
        <v>36</v>
      </c>
      <c r="I560" s="56">
        <v>0.1</v>
      </c>
      <c r="J560" s="57">
        <v>0.05</v>
      </c>
    </row>
    <row r="561" spans="1:10" ht="17.25" thickBot="1" x14ac:dyDescent="0.35">
      <c r="A561" s="58" t="s">
        <v>578</v>
      </c>
      <c r="B561" s="59">
        <f t="shared" si="24"/>
        <v>0</v>
      </c>
      <c r="C561" s="59" t="str">
        <f t="shared" si="25"/>
        <v>Cundinamarca</v>
      </c>
      <c r="D561" s="59" t="str">
        <f t="shared" si="26"/>
        <v>Cogua, Cundinamarca</v>
      </c>
      <c r="E561" s="55">
        <v>25200</v>
      </c>
      <c r="F561" s="56">
        <v>0.15</v>
      </c>
      <c r="G561" s="56">
        <v>0.2</v>
      </c>
      <c r="H561" s="56" t="s">
        <v>36</v>
      </c>
      <c r="I561" s="56">
        <v>0.09</v>
      </c>
      <c r="J561" s="57">
        <v>0.05</v>
      </c>
    </row>
    <row r="562" spans="1:10" ht="17.25" thickBot="1" x14ac:dyDescent="0.35">
      <c r="A562" s="58" t="s">
        <v>579</v>
      </c>
      <c r="B562" s="59">
        <f t="shared" si="24"/>
        <v>0</v>
      </c>
      <c r="C562" s="59" t="str">
        <f t="shared" si="25"/>
        <v>Cundinamarca</v>
      </c>
      <c r="D562" s="59" t="str">
        <f t="shared" si="26"/>
        <v>Cota, Cundinamarca</v>
      </c>
      <c r="E562" s="55">
        <v>25214</v>
      </c>
      <c r="F562" s="56">
        <v>0.15</v>
      </c>
      <c r="G562" s="56">
        <v>0.2</v>
      </c>
      <c r="H562" s="56" t="s">
        <v>36</v>
      </c>
      <c r="I562" s="56">
        <v>0.09</v>
      </c>
      <c r="J562" s="57">
        <v>0.05</v>
      </c>
    </row>
    <row r="563" spans="1:10" ht="17.25" thickBot="1" x14ac:dyDescent="0.35">
      <c r="A563" s="58" t="s">
        <v>580</v>
      </c>
      <c r="B563" s="59">
        <f t="shared" si="24"/>
        <v>0</v>
      </c>
      <c r="C563" s="59" t="str">
        <f t="shared" si="25"/>
        <v>Cundinamarca</v>
      </c>
      <c r="D563" s="59" t="str">
        <f t="shared" si="26"/>
        <v>Cucunubá, Cundinamarca</v>
      </c>
      <c r="E563" s="55">
        <v>25224</v>
      </c>
      <c r="F563" s="56">
        <v>0.15</v>
      </c>
      <c r="G563" s="56">
        <v>0.2</v>
      </c>
      <c r="H563" s="56" t="s">
        <v>36</v>
      </c>
      <c r="I563" s="56">
        <v>0.09</v>
      </c>
      <c r="J563" s="57">
        <v>0.05</v>
      </c>
    </row>
    <row r="564" spans="1:10" ht="17.25" thickBot="1" x14ac:dyDescent="0.35">
      <c r="A564" s="58" t="s">
        <v>581</v>
      </c>
      <c r="B564" s="59">
        <f t="shared" si="24"/>
        <v>0</v>
      </c>
      <c r="C564" s="59" t="str">
        <f t="shared" si="25"/>
        <v>Cundinamarca</v>
      </c>
      <c r="D564" s="59" t="str">
        <f t="shared" si="26"/>
        <v>El Colegio, Cundinamarca</v>
      </c>
      <c r="E564" s="55">
        <v>25245</v>
      </c>
      <c r="F564" s="56">
        <v>0.15</v>
      </c>
      <c r="G564" s="56">
        <v>0.2</v>
      </c>
      <c r="H564" s="56" t="s">
        <v>36</v>
      </c>
      <c r="I564" s="56">
        <v>0.11</v>
      </c>
      <c r="J564" s="57">
        <v>0.06</v>
      </c>
    </row>
    <row r="565" spans="1:10" ht="17.25" thickBot="1" x14ac:dyDescent="0.35">
      <c r="A565" s="58" t="s">
        <v>226</v>
      </c>
      <c r="B565" s="59">
        <f t="shared" si="24"/>
        <v>0</v>
      </c>
      <c r="C565" s="59" t="str">
        <f t="shared" si="25"/>
        <v>Cundinamarca</v>
      </c>
      <c r="D565" s="59" t="str">
        <f t="shared" si="26"/>
        <v>El Peñón, Cundinamarca</v>
      </c>
      <c r="E565" s="55">
        <v>25258</v>
      </c>
      <c r="F565" s="56">
        <v>0.15</v>
      </c>
      <c r="G565" s="56">
        <v>0.2</v>
      </c>
      <c r="H565" s="56" t="s">
        <v>36</v>
      </c>
      <c r="I565" s="56">
        <v>0.13</v>
      </c>
      <c r="J565" s="57">
        <v>0.06</v>
      </c>
    </row>
    <row r="566" spans="1:10" ht="17.25" thickBot="1" x14ac:dyDescent="0.35">
      <c r="A566" s="58" t="s">
        <v>582</v>
      </c>
      <c r="B566" s="59">
        <f t="shared" si="24"/>
        <v>0</v>
      </c>
      <c r="C566" s="59" t="str">
        <f t="shared" si="25"/>
        <v>Cundinamarca</v>
      </c>
      <c r="D566" s="59" t="str">
        <f t="shared" si="26"/>
        <v>El Rosal, Cundinamarca</v>
      </c>
      <c r="E566" s="55">
        <v>25260</v>
      </c>
      <c r="F566" s="56">
        <v>0.15</v>
      </c>
      <c r="G566" s="56">
        <v>0.2</v>
      </c>
      <c r="H566" s="56" t="s">
        <v>36</v>
      </c>
      <c r="I566" s="56">
        <v>0.1</v>
      </c>
      <c r="J566" s="57">
        <v>0.06</v>
      </c>
    </row>
    <row r="567" spans="1:10" ht="17.25" thickBot="1" x14ac:dyDescent="0.35">
      <c r="A567" s="58" t="s">
        <v>583</v>
      </c>
      <c r="B567" s="59">
        <f t="shared" si="24"/>
        <v>0</v>
      </c>
      <c r="C567" s="59" t="str">
        <f t="shared" si="25"/>
        <v>Cundinamarca</v>
      </c>
      <c r="D567" s="59" t="str">
        <f t="shared" si="26"/>
        <v>Facatativá, Cundinamarca</v>
      </c>
      <c r="E567" s="55">
        <v>25269</v>
      </c>
      <c r="F567" s="56">
        <v>0.15</v>
      </c>
      <c r="G567" s="56">
        <v>0.2</v>
      </c>
      <c r="H567" s="56" t="s">
        <v>36</v>
      </c>
      <c r="I567" s="56">
        <v>0.12</v>
      </c>
      <c r="J567" s="57">
        <v>0.06</v>
      </c>
    </row>
    <row r="568" spans="1:10" ht="17.25" thickBot="1" x14ac:dyDescent="0.35">
      <c r="A568" s="58" t="s">
        <v>584</v>
      </c>
      <c r="B568" s="59">
        <f t="shared" si="24"/>
        <v>0</v>
      </c>
      <c r="C568" s="59" t="str">
        <f t="shared" si="25"/>
        <v>Cundinamarca</v>
      </c>
      <c r="D568" s="59" t="str">
        <f t="shared" si="26"/>
        <v>Fómeque, Cundinamarca</v>
      </c>
      <c r="E568" s="55">
        <v>25279</v>
      </c>
      <c r="F568" s="56">
        <v>0.25</v>
      </c>
      <c r="G568" s="56">
        <v>0.25</v>
      </c>
      <c r="H568" s="56" t="s">
        <v>39</v>
      </c>
      <c r="I568" s="56">
        <v>0.16</v>
      </c>
      <c r="J568" s="57">
        <v>0.06</v>
      </c>
    </row>
    <row r="569" spans="1:10" ht="17.25" thickBot="1" x14ac:dyDescent="0.35">
      <c r="A569" s="58" t="s">
        <v>585</v>
      </c>
      <c r="B569" s="59">
        <f t="shared" si="24"/>
        <v>0</v>
      </c>
      <c r="C569" s="59" t="str">
        <f t="shared" si="25"/>
        <v>Cundinamarca</v>
      </c>
      <c r="D569" s="59" t="str">
        <f t="shared" si="26"/>
        <v>Fosca, Cundinamarca</v>
      </c>
      <c r="E569" s="55">
        <v>25281</v>
      </c>
      <c r="F569" s="56">
        <v>0.25</v>
      </c>
      <c r="G569" s="56">
        <v>0.25</v>
      </c>
      <c r="H569" s="56" t="s">
        <v>39</v>
      </c>
      <c r="I569" s="56">
        <v>0.16</v>
      </c>
      <c r="J569" s="57">
        <v>0.06</v>
      </c>
    </row>
    <row r="570" spans="1:10" ht="17.25" thickBot="1" x14ac:dyDescent="0.35">
      <c r="A570" s="58" t="s">
        <v>586</v>
      </c>
      <c r="B570" s="59">
        <f t="shared" si="24"/>
        <v>0</v>
      </c>
      <c r="C570" s="59" t="str">
        <f t="shared" si="25"/>
        <v>Cundinamarca</v>
      </c>
      <c r="D570" s="59" t="str">
        <f t="shared" si="26"/>
        <v>Funza, Cundinamarca</v>
      </c>
      <c r="E570" s="55">
        <v>25286</v>
      </c>
      <c r="F570" s="56">
        <v>0.15</v>
      </c>
      <c r="G570" s="56">
        <v>0.2</v>
      </c>
      <c r="H570" s="56" t="s">
        <v>36</v>
      </c>
      <c r="I570" s="56">
        <v>0.1</v>
      </c>
      <c r="J570" s="57">
        <v>0.06</v>
      </c>
    </row>
    <row r="571" spans="1:10" ht="17.25" thickBot="1" x14ac:dyDescent="0.35">
      <c r="A571" s="58" t="s">
        <v>587</v>
      </c>
      <c r="B571" s="59">
        <f t="shared" si="24"/>
        <v>0</v>
      </c>
      <c r="C571" s="59" t="str">
        <f t="shared" si="25"/>
        <v>Cundinamarca</v>
      </c>
      <c r="D571" s="59" t="str">
        <f t="shared" si="26"/>
        <v>Fúquene, Cundinamarca</v>
      </c>
      <c r="E571" s="55">
        <v>25288</v>
      </c>
      <c r="F571" s="56">
        <v>0.15</v>
      </c>
      <c r="G571" s="56">
        <v>0.2</v>
      </c>
      <c r="H571" s="56" t="s">
        <v>36</v>
      </c>
      <c r="I571" s="56">
        <v>0.08</v>
      </c>
      <c r="J571" s="57">
        <v>0.05</v>
      </c>
    </row>
    <row r="572" spans="1:10" ht="17.25" thickBot="1" x14ac:dyDescent="0.35">
      <c r="A572" s="58" t="s">
        <v>588</v>
      </c>
      <c r="B572" s="59">
        <f t="shared" si="24"/>
        <v>0</v>
      </c>
      <c r="C572" s="59" t="str">
        <f t="shared" si="25"/>
        <v>Cundinamarca</v>
      </c>
      <c r="D572" s="59" t="str">
        <f t="shared" si="26"/>
        <v>Fusagasugá, Cundinamarca</v>
      </c>
      <c r="E572" s="55">
        <v>25290</v>
      </c>
      <c r="F572" s="56">
        <v>0.2</v>
      </c>
      <c r="G572" s="56">
        <v>0.2</v>
      </c>
      <c r="H572" s="56" t="s">
        <v>36</v>
      </c>
      <c r="I572" s="56">
        <v>0.09</v>
      </c>
      <c r="J572" s="57">
        <v>0.05</v>
      </c>
    </row>
    <row r="573" spans="1:10" ht="17.25" thickBot="1" x14ac:dyDescent="0.35">
      <c r="A573" s="58" t="s">
        <v>589</v>
      </c>
      <c r="B573" s="59">
        <f t="shared" si="24"/>
        <v>0</v>
      </c>
      <c r="C573" s="59" t="str">
        <f t="shared" si="25"/>
        <v>Cundinamarca</v>
      </c>
      <c r="D573" s="59" t="str">
        <f t="shared" si="26"/>
        <v>Gachalá, Cundinamarca</v>
      </c>
      <c r="E573" s="55">
        <v>25293</v>
      </c>
      <c r="F573" s="56">
        <v>0.3</v>
      </c>
      <c r="G573" s="56">
        <v>0.25</v>
      </c>
      <c r="H573" s="56" t="s">
        <v>39</v>
      </c>
      <c r="I573" s="56">
        <v>0.26</v>
      </c>
      <c r="J573" s="57">
        <v>0.06</v>
      </c>
    </row>
    <row r="574" spans="1:10" ht="17.25" thickBot="1" x14ac:dyDescent="0.35">
      <c r="A574" s="58" t="s">
        <v>590</v>
      </c>
      <c r="B574" s="59">
        <f t="shared" si="24"/>
        <v>0</v>
      </c>
      <c r="C574" s="59" t="str">
        <f t="shared" si="25"/>
        <v>Cundinamarca</v>
      </c>
      <c r="D574" s="59" t="str">
        <f t="shared" si="26"/>
        <v>Gachancipá, Cundinamarca</v>
      </c>
      <c r="E574" s="55">
        <v>25295</v>
      </c>
      <c r="F574" s="56">
        <v>0.15</v>
      </c>
      <c r="G574" s="56">
        <v>0.2</v>
      </c>
      <c r="H574" s="56" t="s">
        <v>36</v>
      </c>
      <c r="I574" s="56">
        <v>0.09</v>
      </c>
      <c r="J574" s="57">
        <v>0.05</v>
      </c>
    </row>
    <row r="575" spans="1:10" ht="17.25" thickBot="1" x14ac:dyDescent="0.35">
      <c r="A575" s="58" t="s">
        <v>591</v>
      </c>
      <c r="B575" s="59">
        <f t="shared" si="24"/>
        <v>0</v>
      </c>
      <c r="C575" s="59" t="str">
        <f t="shared" si="25"/>
        <v>Cundinamarca</v>
      </c>
      <c r="D575" s="59" t="str">
        <f t="shared" si="26"/>
        <v>Gachetá, Cundinamarca</v>
      </c>
      <c r="E575" s="55">
        <v>25297</v>
      </c>
      <c r="F575" s="56">
        <v>0.2</v>
      </c>
      <c r="G575" s="56">
        <v>0.25</v>
      </c>
      <c r="H575" s="56" t="s">
        <v>39</v>
      </c>
      <c r="I575" s="56">
        <v>0.15</v>
      </c>
      <c r="J575" s="57">
        <v>0.06</v>
      </c>
    </row>
    <row r="576" spans="1:10" ht="17.25" thickBot="1" x14ac:dyDescent="0.35">
      <c r="A576" s="58" t="s">
        <v>592</v>
      </c>
      <c r="B576" s="59">
        <f t="shared" si="24"/>
        <v>0</v>
      </c>
      <c r="C576" s="59" t="str">
        <f t="shared" si="25"/>
        <v>Cundinamarca</v>
      </c>
      <c r="D576" s="59" t="str">
        <f t="shared" si="26"/>
        <v>Gama, Cundinamarca</v>
      </c>
      <c r="E576" s="55">
        <v>25299</v>
      </c>
      <c r="F576" s="56">
        <v>0.25</v>
      </c>
      <c r="G576" s="56">
        <v>0.25</v>
      </c>
      <c r="H576" s="56" t="s">
        <v>39</v>
      </c>
      <c r="I576" s="56">
        <v>0.16</v>
      </c>
      <c r="J576" s="57">
        <v>0.06</v>
      </c>
    </row>
    <row r="577" spans="1:10" ht="17.25" thickBot="1" x14ac:dyDescent="0.35">
      <c r="A577" s="58" t="s">
        <v>593</v>
      </c>
      <c r="B577" s="59">
        <f t="shared" si="24"/>
        <v>0</v>
      </c>
      <c r="C577" s="59" t="str">
        <f t="shared" si="25"/>
        <v>Cundinamarca</v>
      </c>
      <c r="D577" s="59" t="str">
        <f t="shared" si="26"/>
        <v>Girardot, Cundinamarca</v>
      </c>
      <c r="E577" s="55">
        <v>25307</v>
      </c>
      <c r="F577" s="56">
        <v>0.2</v>
      </c>
      <c r="G577" s="56">
        <v>0.2</v>
      </c>
      <c r="H577" s="56" t="s">
        <v>36</v>
      </c>
      <c r="I577" s="56">
        <v>0.12</v>
      </c>
      <c r="J577" s="57">
        <v>0.06</v>
      </c>
    </row>
    <row r="578" spans="1:10" ht="17.25" thickBot="1" x14ac:dyDescent="0.35">
      <c r="A578" s="58" t="s">
        <v>107</v>
      </c>
      <c r="B578" s="59">
        <f t="shared" si="24"/>
        <v>0</v>
      </c>
      <c r="C578" s="59" t="str">
        <f t="shared" si="25"/>
        <v>Cundinamarca</v>
      </c>
      <c r="D578" s="59" t="str">
        <f t="shared" si="26"/>
        <v>Granada, Cundinamarca</v>
      </c>
      <c r="E578" s="55">
        <v>25312</v>
      </c>
      <c r="F578" s="56">
        <v>0.15</v>
      </c>
      <c r="G578" s="56">
        <v>0.2</v>
      </c>
      <c r="H578" s="56" t="s">
        <v>36</v>
      </c>
      <c r="I578" s="56">
        <v>0.1</v>
      </c>
      <c r="J578" s="57">
        <v>0.05</v>
      </c>
    </row>
    <row r="579" spans="1:10" ht="17.25" thickBot="1" x14ac:dyDescent="0.35">
      <c r="A579" s="58" t="s">
        <v>594</v>
      </c>
      <c r="B579" s="59">
        <f t="shared" ref="B579:B642" si="27">IFERROR(FIND("Departamento",A579),0)</f>
        <v>0</v>
      </c>
      <c r="C579" s="59" t="str">
        <f t="shared" ref="C579:C642" si="28">IF(B579=1,IF(ISERROR(FIND("del",A579)),MID(A579,17,30),MID(A579,18,30)),C578)</f>
        <v>Cundinamarca</v>
      </c>
      <c r="D579" s="59" t="str">
        <f t="shared" ref="D579:D642" si="29">IF(B579=1,"",CONCATENATE(A579,", ",C579))</f>
        <v>Guachetá, Cundinamarca</v>
      </c>
      <c r="E579" s="55">
        <v>25317</v>
      </c>
      <c r="F579" s="56">
        <v>0.15</v>
      </c>
      <c r="G579" s="56">
        <v>0.2</v>
      </c>
      <c r="H579" s="56" t="s">
        <v>36</v>
      </c>
      <c r="I579" s="56">
        <v>0.08</v>
      </c>
      <c r="J579" s="57">
        <v>0.05</v>
      </c>
    </row>
    <row r="580" spans="1:10" ht="17.25" thickBot="1" x14ac:dyDescent="0.35">
      <c r="A580" s="58" t="s">
        <v>595</v>
      </c>
      <c r="B580" s="59">
        <f t="shared" si="27"/>
        <v>0</v>
      </c>
      <c r="C580" s="59" t="str">
        <f t="shared" si="28"/>
        <v>Cundinamarca</v>
      </c>
      <c r="D580" s="59" t="str">
        <f t="shared" si="29"/>
        <v>Guaduas, Cundinamarca</v>
      </c>
      <c r="E580" s="55">
        <v>25320</v>
      </c>
      <c r="F580" s="56">
        <v>0.15</v>
      </c>
      <c r="G580" s="56">
        <v>0.2</v>
      </c>
      <c r="H580" s="56" t="s">
        <v>36</v>
      </c>
      <c r="I580" s="56">
        <v>0.15</v>
      </c>
      <c r="J580" s="57">
        <v>0.06</v>
      </c>
    </row>
    <row r="581" spans="1:10" ht="17.25" thickBot="1" x14ac:dyDescent="0.35">
      <c r="A581" s="58" t="s">
        <v>596</v>
      </c>
      <c r="B581" s="59">
        <f t="shared" si="27"/>
        <v>0</v>
      </c>
      <c r="C581" s="59" t="str">
        <f t="shared" si="28"/>
        <v>Cundinamarca</v>
      </c>
      <c r="D581" s="59" t="str">
        <f t="shared" si="29"/>
        <v>Guasca, Cundinamarca</v>
      </c>
      <c r="E581" s="55">
        <v>25322</v>
      </c>
      <c r="F581" s="56">
        <v>0.15</v>
      </c>
      <c r="G581" s="56">
        <v>0.25</v>
      </c>
      <c r="H581" s="56" t="s">
        <v>39</v>
      </c>
      <c r="I581" s="56">
        <v>0.11</v>
      </c>
      <c r="J581" s="57">
        <v>0.05</v>
      </c>
    </row>
    <row r="582" spans="1:10" ht="17.25" thickBot="1" x14ac:dyDescent="0.35">
      <c r="A582" s="58" t="s">
        <v>597</v>
      </c>
      <c r="B582" s="59">
        <f t="shared" si="27"/>
        <v>0</v>
      </c>
      <c r="C582" s="59" t="str">
        <f t="shared" si="28"/>
        <v>Cundinamarca</v>
      </c>
      <c r="D582" s="59" t="str">
        <f t="shared" si="29"/>
        <v>Guataquí, Cundinamarca</v>
      </c>
      <c r="E582" s="55">
        <v>25324</v>
      </c>
      <c r="F582" s="56">
        <v>0.2</v>
      </c>
      <c r="G582" s="56">
        <v>0.2</v>
      </c>
      <c r="H582" s="56" t="s">
        <v>36</v>
      </c>
      <c r="I582" s="56">
        <v>0.16</v>
      </c>
      <c r="J582" s="57">
        <v>0.06</v>
      </c>
    </row>
    <row r="583" spans="1:10" ht="17.25" thickBot="1" x14ac:dyDescent="0.35">
      <c r="A583" s="58" t="s">
        <v>598</v>
      </c>
      <c r="B583" s="59">
        <f t="shared" si="27"/>
        <v>0</v>
      </c>
      <c r="C583" s="59" t="str">
        <f t="shared" si="28"/>
        <v>Cundinamarca</v>
      </c>
      <c r="D583" s="59" t="str">
        <f t="shared" si="29"/>
        <v>Guatavita, Cundinamarca</v>
      </c>
      <c r="E583" s="55">
        <v>25326</v>
      </c>
      <c r="F583" s="56">
        <v>0.15</v>
      </c>
      <c r="G583" s="56">
        <v>0.2</v>
      </c>
      <c r="H583" s="56" t="s">
        <v>36</v>
      </c>
      <c r="I583" s="56">
        <v>0.11</v>
      </c>
      <c r="J583" s="57">
        <v>0.05</v>
      </c>
    </row>
    <row r="584" spans="1:10" ht="17.25" thickBot="1" x14ac:dyDescent="0.35">
      <c r="A584" s="58" t="s">
        <v>599</v>
      </c>
      <c r="B584" s="59">
        <f t="shared" si="27"/>
        <v>0</v>
      </c>
      <c r="C584" s="59" t="str">
        <f t="shared" si="28"/>
        <v>Cundinamarca</v>
      </c>
      <c r="D584" s="59" t="str">
        <f t="shared" si="29"/>
        <v>Guayabal De Síquima, Cundinamarca</v>
      </c>
      <c r="E584" s="55">
        <v>25328</v>
      </c>
      <c r="F584" s="56">
        <v>0.15</v>
      </c>
      <c r="G584" s="56">
        <v>0.2</v>
      </c>
      <c r="H584" s="56" t="s">
        <v>36</v>
      </c>
      <c r="I584" s="56">
        <v>0.16</v>
      </c>
      <c r="J584" s="57">
        <v>0.06</v>
      </c>
    </row>
    <row r="585" spans="1:10" ht="17.25" thickBot="1" x14ac:dyDescent="0.35">
      <c r="A585" s="58" t="s">
        <v>600</v>
      </c>
      <c r="B585" s="59">
        <f t="shared" si="27"/>
        <v>0</v>
      </c>
      <c r="C585" s="59" t="str">
        <f t="shared" si="28"/>
        <v>Cundinamarca</v>
      </c>
      <c r="D585" s="59" t="str">
        <f t="shared" si="29"/>
        <v>Guayabetal, Cundinamarca</v>
      </c>
      <c r="E585" s="55">
        <v>25335</v>
      </c>
      <c r="F585" s="56">
        <v>0.3</v>
      </c>
      <c r="G585" s="56">
        <v>0.25</v>
      </c>
      <c r="H585" s="56" t="s">
        <v>39</v>
      </c>
      <c r="I585" s="56">
        <v>0.16</v>
      </c>
      <c r="J585" s="57">
        <v>0.06</v>
      </c>
    </row>
    <row r="586" spans="1:10" ht="17.25" thickBot="1" x14ac:dyDescent="0.35">
      <c r="A586" s="58" t="s">
        <v>601</v>
      </c>
      <c r="B586" s="59">
        <f t="shared" si="27"/>
        <v>0</v>
      </c>
      <c r="C586" s="59" t="str">
        <f t="shared" si="28"/>
        <v>Cundinamarca</v>
      </c>
      <c r="D586" s="59" t="str">
        <f t="shared" si="29"/>
        <v>Gutiérrez, Cundinamarca</v>
      </c>
      <c r="E586" s="55">
        <v>25339</v>
      </c>
      <c r="F586" s="56">
        <v>0.25</v>
      </c>
      <c r="G586" s="56">
        <v>0.25</v>
      </c>
      <c r="H586" s="56" t="s">
        <v>39</v>
      </c>
      <c r="I586" s="56">
        <v>0.16</v>
      </c>
      <c r="J586" s="57">
        <v>0.06</v>
      </c>
    </row>
    <row r="587" spans="1:10" ht="17.25" thickBot="1" x14ac:dyDescent="0.35">
      <c r="A587" s="58" t="s">
        <v>602</v>
      </c>
      <c r="B587" s="59">
        <f t="shared" si="27"/>
        <v>0</v>
      </c>
      <c r="C587" s="59" t="str">
        <f t="shared" si="28"/>
        <v>Cundinamarca</v>
      </c>
      <c r="D587" s="59" t="str">
        <f t="shared" si="29"/>
        <v>Jerusalén, Cundinamarca</v>
      </c>
      <c r="E587" s="55">
        <v>25368</v>
      </c>
      <c r="F587" s="56">
        <v>0.2</v>
      </c>
      <c r="G587" s="56">
        <v>0.2</v>
      </c>
      <c r="H587" s="56" t="s">
        <v>36</v>
      </c>
      <c r="I587" s="56">
        <v>0.16</v>
      </c>
      <c r="J587" s="57">
        <v>0.06</v>
      </c>
    </row>
    <row r="588" spans="1:10" ht="17.25" thickBot="1" x14ac:dyDescent="0.35">
      <c r="A588" s="58" t="s">
        <v>603</v>
      </c>
      <c r="B588" s="59">
        <f t="shared" si="27"/>
        <v>0</v>
      </c>
      <c r="C588" s="59" t="str">
        <f t="shared" si="28"/>
        <v>Cundinamarca</v>
      </c>
      <c r="D588" s="59" t="str">
        <f t="shared" si="29"/>
        <v>Junín, Cundinamarca</v>
      </c>
      <c r="E588" s="55">
        <v>25372</v>
      </c>
      <c r="F588" s="56">
        <v>0.2</v>
      </c>
      <c r="G588" s="56">
        <v>0.25</v>
      </c>
      <c r="H588" s="56" t="s">
        <v>39</v>
      </c>
      <c r="I588" s="56">
        <v>0.16</v>
      </c>
      <c r="J588" s="57">
        <v>0.06</v>
      </c>
    </row>
    <row r="589" spans="1:10" ht="17.25" thickBot="1" x14ac:dyDescent="0.35">
      <c r="A589" s="58" t="s">
        <v>604</v>
      </c>
      <c r="B589" s="59">
        <f t="shared" si="27"/>
        <v>0</v>
      </c>
      <c r="C589" s="59" t="str">
        <f t="shared" si="28"/>
        <v>Cundinamarca</v>
      </c>
      <c r="D589" s="59" t="str">
        <f t="shared" si="29"/>
        <v>La Calera, Cundinamarca</v>
      </c>
      <c r="E589" s="55">
        <v>25377</v>
      </c>
      <c r="F589" s="56">
        <v>0.15</v>
      </c>
      <c r="G589" s="56">
        <v>0.25</v>
      </c>
      <c r="H589" s="56" t="s">
        <v>39</v>
      </c>
      <c r="I589" s="56">
        <v>0.11</v>
      </c>
      <c r="J589" s="57">
        <v>0.05</v>
      </c>
    </row>
    <row r="590" spans="1:10" ht="17.25" thickBot="1" x14ac:dyDescent="0.35">
      <c r="A590" s="58" t="s">
        <v>605</v>
      </c>
      <c r="B590" s="59">
        <f t="shared" si="27"/>
        <v>0</v>
      </c>
      <c r="C590" s="59" t="str">
        <f t="shared" si="28"/>
        <v>Cundinamarca</v>
      </c>
      <c r="D590" s="59" t="str">
        <f t="shared" si="29"/>
        <v>La Mesa, Cundinamarca</v>
      </c>
      <c r="E590" s="55">
        <v>25386</v>
      </c>
      <c r="F590" s="56">
        <v>0.15</v>
      </c>
      <c r="G590" s="56">
        <v>0.2</v>
      </c>
      <c r="H590" s="56" t="s">
        <v>36</v>
      </c>
      <c r="I590" s="56">
        <v>0.14000000000000001</v>
      </c>
      <c r="J590" s="57">
        <v>0.06</v>
      </c>
    </row>
    <row r="591" spans="1:10" ht="17.25" thickBot="1" x14ac:dyDescent="0.35">
      <c r="A591" s="58" t="s">
        <v>606</v>
      </c>
      <c r="B591" s="59">
        <f t="shared" si="27"/>
        <v>0</v>
      </c>
      <c r="C591" s="59" t="str">
        <f t="shared" si="28"/>
        <v>Cundinamarca</v>
      </c>
      <c r="D591" s="59" t="str">
        <f t="shared" si="29"/>
        <v>La Palma, Cundinamarca</v>
      </c>
      <c r="E591" s="55">
        <v>25394</v>
      </c>
      <c r="F591" s="56">
        <v>0.15</v>
      </c>
      <c r="G591" s="56">
        <v>0.2</v>
      </c>
      <c r="H591" s="56" t="s">
        <v>36</v>
      </c>
      <c r="I591" s="56">
        <v>0.16</v>
      </c>
      <c r="J591" s="57">
        <v>0.06</v>
      </c>
    </row>
    <row r="592" spans="1:10" ht="17.25" thickBot="1" x14ac:dyDescent="0.35">
      <c r="A592" s="58" t="s">
        <v>607</v>
      </c>
      <c r="B592" s="59">
        <f t="shared" si="27"/>
        <v>0</v>
      </c>
      <c r="C592" s="59" t="str">
        <f t="shared" si="28"/>
        <v>Cundinamarca</v>
      </c>
      <c r="D592" s="59" t="str">
        <f t="shared" si="29"/>
        <v>La Peña, Cundinamarca</v>
      </c>
      <c r="E592" s="55">
        <v>25398</v>
      </c>
      <c r="F592" s="56">
        <v>0.15</v>
      </c>
      <c r="G592" s="56">
        <v>0.2</v>
      </c>
      <c r="H592" s="56" t="s">
        <v>36</v>
      </c>
      <c r="I592" s="56">
        <v>0.16</v>
      </c>
      <c r="J592" s="57">
        <v>0.06</v>
      </c>
    </row>
    <row r="593" spans="1:10" ht="17.25" thickBot="1" x14ac:dyDescent="0.35">
      <c r="A593" s="58" t="s">
        <v>451</v>
      </c>
      <c r="B593" s="59">
        <f t="shared" si="27"/>
        <v>0</v>
      </c>
      <c r="C593" s="59" t="str">
        <f t="shared" si="28"/>
        <v>Cundinamarca</v>
      </c>
      <c r="D593" s="59" t="str">
        <f t="shared" si="29"/>
        <v>La Vega, Cundinamarca</v>
      </c>
      <c r="E593" s="55">
        <v>25402</v>
      </c>
      <c r="F593" s="56">
        <v>0.15</v>
      </c>
      <c r="G593" s="56">
        <v>0.2</v>
      </c>
      <c r="H593" s="56" t="s">
        <v>36</v>
      </c>
      <c r="I593" s="56">
        <v>0.12</v>
      </c>
      <c r="J593" s="57">
        <v>0.06</v>
      </c>
    </row>
    <row r="594" spans="1:10" ht="17.25" thickBot="1" x14ac:dyDescent="0.35">
      <c r="A594" s="58" t="s">
        <v>608</v>
      </c>
      <c r="B594" s="59">
        <f t="shared" si="27"/>
        <v>0</v>
      </c>
      <c r="C594" s="59" t="str">
        <f t="shared" si="28"/>
        <v>Cundinamarca</v>
      </c>
      <c r="D594" s="59" t="str">
        <f t="shared" si="29"/>
        <v>Lenguazaque, Cundinamarca</v>
      </c>
      <c r="E594" s="55">
        <v>25407</v>
      </c>
      <c r="F594" s="56">
        <v>0.15</v>
      </c>
      <c r="G594" s="56">
        <v>0.2</v>
      </c>
      <c r="H594" s="56" t="s">
        <v>36</v>
      </c>
      <c r="I594" s="56">
        <v>0.09</v>
      </c>
      <c r="J594" s="57">
        <v>0.05</v>
      </c>
    </row>
    <row r="595" spans="1:10" ht="17.25" thickBot="1" x14ac:dyDescent="0.35">
      <c r="A595" s="58" t="s">
        <v>609</v>
      </c>
      <c r="B595" s="59">
        <f t="shared" si="27"/>
        <v>0</v>
      </c>
      <c r="C595" s="59" t="str">
        <f t="shared" si="28"/>
        <v>Cundinamarca</v>
      </c>
      <c r="D595" s="59" t="str">
        <f t="shared" si="29"/>
        <v>Machetá, Cundinamarca</v>
      </c>
      <c r="E595" s="55">
        <v>25426</v>
      </c>
      <c r="F595" s="56">
        <v>0.2</v>
      </c>
      <c r="G595" s="56">
        <v>0.25</v>
      </c>
      <c r="H595" s="56" t="s">
        <v>39</v>
      </c>
      <c r="I595" s="56">
        <v>0.13</v>
      </c>
      <c r="J595" s="57">
        <v>0.06</v>
      </c>
    </row>
    <row r="596" spans="1:10" ht="17.25" thickBot="1" x14ac:dyDescent="0.35">
      <c r="A596" s="58" t="s">
        <v>610</v>
      </c>
      <c r="B596" s="59">
        <f t="shared" si="27"/>
        <v>0</v>
      </c>
      <c r="C596" s="59" t="str">
        <f t="shared" si="28"/>
        <v>Cundinamarca</v>
      </c>
      <c r="D596" s="59" t="str">
        <f t="shared" si="29"/>
        <v>Madrid, Cundinamarca</v>
      </c>
      <c r="E596" s="55">
        <v>25430</v>
      </c>
      <c r="F596" s="56">
        <v>0.15</v>
      </c>
      <c r="G596" s="56">
        <v>0.2</v>
      </c>
      <c r="H596" s="56" t="s">
        <v>36</v>
      </c>
      <c r="I596" s="56">
        <v>0.1</v>
      </c>
      <c r="J596" s="57">
        <v>0.06</v>
      </c>
    </row>
    <row r="597" spans="1:10" ht="17.25" thickBot="1" x14ac:dyDescent="0.35">
      <c r="A597" s="58" t="s">
        <v>611</v>
      </c>
      <c r="B597" s="59">
        <f t="shared" si="27"/>
        <v>0</v>
      </c>
      <c r="C597" s="59" t="str">
        <f t="shared" si="28"/>
        <v>Cundinamarca</v>
      </c>
      <c r="D597" s="59" t="str">
        <f t="shared" si="29"/>
        <v>Manta, Cundinamarca</v>
      </c>
      <c r="E597" s="55">
        <v>25436</v>
      </c>
      <c r="F597" s="56">
        <v>0.2</v>
      </c>
      <c r="G597" s="56">
        <v>0.25</v>
      </c>
      <c r="H597" s="56" t="s">
        <v>39</v>
      </c>
      <c r="I597" s="56">
        <v>0.15</v>
      </c>
      <c r="J597" s="57">
        <v>0.06</v>
      </c>
    </row>
    <row r="598" spans="1:10" ht="17.25" thickBot="1" x14ac:dyDescent="0.35">
      <c r="A598" s="58" t="s">
        <v>612</v>
      </c>
      <c r="B598" s="59">
        <f t="shared" si="27"/>
        <v>0</v>
      </c>
      <c r="C598" s="59" t="str">
        <f t="shared" si="28"/>
        <v>Cundinamarca</v>
      </c>
      <c r="D598" s="59" t="str">
        <f t="shared" si="29"/>
        <v>Medina, Cundinamarca</v>
      </c>
      <c r="E598" s="55">
        <v>25438</v>
      </c>
      <c r="F598" s="56">
        <v>0.35</v>
      </c>
      <c r="G598" s="56">
        <v>0.25</v>
      </c>
      <c r="H598" s="56" t="s">
        <v>39</v>
      </c>
      <c r="I598" s="56">
        <v>0.16</v>
      </c>
      <c r="J598" s="57">
        <v>0.06</v>
      </c>
    </row>
    <row r="599" spans="1:10" ht="17.25" thickBot="1" x14ac:dyDescent="0.35">
      <c r="A599" s="58" t="s">
        <v>613</v>
      </c>
      <c r="B599" s="59">
        <f t="shared" si="27"/>
        <v>0</v>
      </c>
      <c r="C599" s="59" t="str">
        <f t="shared" si="28"/>
        <v>Cundinamarca</v>
      </c>
      <c r="D599" s="59" t="str">
        <f t="shared" si="29"/>
        <v>Mosquera, Cundinamarca</v>
      </c>
      <c r="E599" s="55">
        <v>25473</v>
      </c>
      <c r="F599" s="56">
        <v>0.15</v>
      </c>
      <c r="G599" s="56">
        <v>0.2</v>
      </c>
      <c r="H599" s="56" t="s">
        <v>36</v>
      </c>
      <c r="I599" s="56">
        <v>0.1</v>
      </c>
      <c r="J599" s="57">
        <v>0.06</v>
      </c>
    </row>
    <row r="600" spans="1:10" ht="17.25" thickBot="1" x14ac:dyDescent="0.35">
      <c r="A600" s="58" t="s">
        <v>44</v>
      </c>
      <c r="B600" s="59">
        <f t="shared" si="27"/>
        <v>0</v>
      </c>
      <c r="C600" s="59" t="str">
        <f t="shared" si="28"/>
        <v>Cundinamarca</v>
      </c>
      <c r="D600" s="59" t="str">
        <f t="shared" si="29"/>
        <v>Nariño, Cundinamarca</v>
      </c>
      <c r="E600" s="55">
        <v>25483</v>
      </c>
      <c r="F600" s="56">
        <v>0.2</v>
      </c>
      <c r="G600" s="56">
        <v>0.2</v>
      </c>
      <c r="H600" s="56" t="s">
        <v>36</v>
      </c>
      <c r="I600" s="56">
        <v>0.13</v>
      </c>
      <c r="J600" s="57">
        <v>0.06</v>
      </c>
    </row>
    <row r="601" spans="1:10" ht="17.25" thickBot="1" x14ac:dyDescent="0.35">
      <c r="A601" s="58" t="s">
        <v>614</v>
      </c>
      <c r="B601" s="59">
        <f t="shared" si="27"/>
        <v>0</v>
      </c>
      <c r="C601" s="59" t="str">
        <f t="shared" si="28"/>
        <v>Cundinamarca</v>
      </c>
      <c r="D601" s="59" t="str">
        <f t="shared" si="29"/>
        <v>Nemocón, Cundinamarca</v>
      </c>
      <c r="E601" s="55">
        <v>25486</v>
      </c>
      <c r="F601" s="56">
        <v>0.15</v>
      </c>
      <c r="G601" s="56">
        <v>0.2</v>
      </c>
      <c r="H601" s="56" t="s">
        <v>36</v>
      </c>
      <c r="I601" s="56">
        <v>0.09</v>
      </c>
      <c r="J601" s="57">
        <v>0.05</v>
      </c>
    </row>
    <row r="602" spans="1:10" ht="17.25" thickBot="1" x14ac:dyDescent="0.35">
      <c r="A602" s="58" t="s">
        <v>615</v>
      </c>
      <c r="B602" s="59">
        <f t="shared" si="27"/>
        <v>0</v>
      </c>
      <c r="C602" s="59" t="str">
        <f t="shared" si="28"/>
        <v>Cundinamarca</v>
      </c>
      <c r="D602" s="59" t="str">
        <f t="shared" si="29"/>
        <v>Nilo, Cundinamarca</v>
      </c>
      <c r="E602" s="55">
        <v>25488</v>
      </c>
      <c r="F602" s="56">
        <v>0.2</v>
      </c>
      <c r="G602" s="56">
        <v>0.2</v>
      </c>
      <c r="H602" s="56" t="s">
        <v>36</v>
      </c>
      <c r="I602" s="56">
        <v>0.1</v>
      </c>
      <c r="J602" s="57">
        <v>0.05</v>
      </c>
    </row>
    <row r="603" spans="1:10" ht="17.25" thickBot="1" x14ac:dyDescent="0.35">
      <c r="A603" s="58" t="s">
        <v>616</v>
      </c>
      <c r="B603" s="59">
        <f t="shared" si="27"/>
        <v>0</v>
      </c>
      <c r="C603" s="59" t="str">
        <f t="shared" si="28"/>
        <v>Cundinamarca</v>
      </c>
      <c r="D603" s="59" t="str">
        <f t="shared" si="29"/>
        <v>Nimáima, Cundinamarca</v>
      </c>
      <c r="E603" s="55">
        <v>25489</v>
      </c>
      <c r="F603" s="56">
        <v>0.15</v>
      </c>
      <c r="G603" s="56">
        <v>0.2</v>
      </c>
      <c r="H603" s="56" t="s">
        <v>36</v>
      </c>
      <c r="I603" s="56">
        <v>0.14000000000000001</v>
      </c>
      <c r="J603" s="57">
        <v>0.06</v>
      </c>
    </row>
    <row r="604" spans="1:10" ht="17.25" thickBot="1" x14ac:dyDescent="0.35">
      <c r="A604" s="58" t="s">
        <v>617</v>
      </c>
      <c r="B604" s="59">
        <f t="shared" si="27"/>
        <v>0</v>
      </c>
      <c r="C604" s="59" t="str">
        <f t="shared" si="28"/>
        <v>Cundinamarca</v>
      </c>
      <c r="D604" s="59" t="str">
        <f t="shared" si="29"/>
        <v>Nocáima, Cundinamarca</v>
      </c>
      <c r="E604" s="55">
        <v>25491</v>
      </c>
      <c r="F604" s="56">
        <v>0.15</v>
      </c>
      <c r="G604" s="56">
        <v>0.2</v>
      </c>
      <c r="H604" s="56" t="s">
        <v>36</v>
      </c>
      <c r="I604" s="56">
        <v>0.14000000000000001</v>
      </c>
      <c r="J604" s="57">
        <v>0.06</v>
      </c>
    </row>
    <row r="605" spans="1:10" ht="17.25" thickBot="1" x14ac:dyDescent="0.35">
      <c r="A605" s="58" t="s">
        <v>618</v>
      </c>
      <c r="B605" s="59">
        <f t="shared" si="27"/>
        <v>0</v>
      </c>
      <c r="C605" s="59" t="str">
        <f t="shared" si="28"/>
        <v>Cundinamarca</v>
      </c>
      <c r="D605" s="59" t="str">
        <f t="shared" si="29"/>
        <v>Pacho, Cundinamarca</v>
      </c>
      <c r="E605" s="55">
        <v>25513</v>
      </c>
      <c r="F605" s="56">
        <v>0.15</v>
      </c>
      <c r="G605" s="56">
        <v>0.2</v>
      </c>
      <c r="H605" s="56" t="s">
        <v>36</v>
      </c>
      <c r="I605" s="56">
        <v>0.1</v>
      </c>
      <c r="J605" s="57">
        <v>0.06</v>
      </c>
    </row>
    <row r="606" spans="1:10" ht="17.25" thickBot="1" x14ac:dyDescent="0.35">
      <c r="A606" s="58" t="s">
        <v>619</v>
      </c>
      <c r="B606" s="59">
        <f t="shared" si="27"/>
        <v>0</v>
      </c>
      <c r="C606" s="59" t="str">
        <f t="shared" si="28"/>
        <v>Cundinamarca</v>
      </c>
      <c r="D606" s="59" t="str">
        <f t="shared" si="29"/>
        <v>Paime, Cundinamarca</v>
      </c>
      <c r="E606" s="55">
        <v>25518</v>
      </c>
      <c r="F606" s="56">
        <v>0.15</v>
      </c>
      <c r="G606" s="56">
        <v>0.15</v>
      </c>
      <c r="H606" s="56" t="s">
        <v>36</v>
      </c>
      <c r="I606" s="56">
        <v>0.12</v>
      </c>
      <c r="J606" s="57">
        <v>0.06</v>
      </c>
    </row>
    <row r="607" spans="1:10" ht="17.25" thickBot="1" x14ac:dyDescent="0.35">
      <c r="A607" s="58" t="s">
        <v>620</v>
      </c>
      <c r="B607" s="59">
        <f t="shared" si="27"/>
        <v>0</v>
      </c>
      <c r="C607" s="59" t="str">
        <f t="shared" si="28"/>
        <v>Cundinamarca</v>
      </c>
      <c r="D607" s="59" t="str">
        <f t="shared" si="29"/>
        <v>Pandi, Cundinamarca</v>
      </c>
      <c r="E607" s="55">
        <v>25524</v>
      </c>
      <c r="F607" s="56">
        <v>0.2</v>
      </c>
      <c r="G607" s="56">
        <v>0.2</v>
      </c>
      <c r="H607" s="56" t="s">
        <v>36</v>
      </c>
      <c r="I607" s="56">
        <v>0.09</v>
      </c>
      <c r="J607" s="57">
        <v>0.05</v>
      </c>
    </row>
    <row r="608" spans="1:10" ht="17.25" thickBot="1" x14ac:dyDescent="0.35">
      <c r="A608" s="58" t="s">
        <v>621</v>
      </c>
      <c r="B608" s="59">
        <f t="shared" si="27"/>
        <v>0</v>
      </c>
      <c r="C608" s="59" t="str">
        <f t="shared" si="28"/>
        <v>Cundinamarca</v>
      </c>
      <c r="D608" s="59" t="str">
        <f t="shared" si="29"/>
        <v>Paratebueno, Cundinamarca</v>
      </c>
      <c r="E608" s="55">
        <v>25530</v>
      </c>
      <c r="F608" s="56">
        <v>0.3</v>
      </c>
      <c r="G608" s="56">
        <v>0.25</v>
      </c>
      <c r="H608" s="56" t="s">
        <v>39</v>
      </c>
      <c r="I608" s="56">
        <v>0.09</v>
      </c>
      <c r="J608" s="57">
        <v>0.04</v>
      </c>
    </row>
    <row r="609" spans="1:10" ht="17.25" thickBot="1" x14ac:dyDescent="0.35">
      <c r="A609" s="58" t="s">
        <v>622</v>
      </c>
      <c r="B609" s="59">
        <f t="shared" si="27"/>
        <v>0</v>
      </c>
      <c r="C609" s="59" t="str">
        <f t="shared" si="28"/>
        <v>Cundinamarca</v>
      </c>
      <c r="D609" s="59" t="str">
        <f t="shared" si="29"/>
        <v>Pasca, Cundinamarca</v>
      </c>
      <c r="E609" s="55">
        <v>25535</v>
      </c>
      <c r="F609" s="56">
        <v>0.2</v>
      </c>
      <c r="G609" s="56">
        <v>0.2</v>
      </c>
      <c r="H609" s="56" t="s">
        <v>36</v>
      </c>
      <c r="I609" s="56">
        <v>0.1</v>
      </c>
      <c r="J609" s="57">
        <v>0.05</v>
      </c>
    </row>
    <row r="610" spans="1:10" ht="17.25" thickBot="1" x14ac:dyDescent="0.35">
      <c r="A610" s="58" t="s">
        <v>623</v>
      </c>
      <c r="B610" s="59">
        <f t="shared" si="27"/>
        <v>0</v>
      </c>
      <c r="C610" s="59" t="str">
        <f t="shared" si="28"/>
        <v>Cundinamarca</v>
      </c>
      <c r="D610" s="59" t="str">
        <f t="shared" si="29"/>
        <v>Puerto Salgar, Cundinamarca</v>
      </c>
      <c r="E610" s="55">
        <v>25572</v>
      </c>
      <c r="F610" s="56">
        <v>0.15</v>
      </c>
      <c r="G610" s="56">
        <v>0.2</v>
      </c>
      <c r="H610" s="56" t="s">
        <v>36</v>
      </c>
      <c r="I610" s="56">
        <v>0.11</v>
      </c>
      <c r="J610" s="57">
        <v>0.06</v>
      </c>
    </row>
    <row r="611" spans="1:10" ht="17.25" thickBot="1" x14ac:dyDescent="0.35">
      <c r="A611" s="58" t="s">
        <v>624</v>
      </c>
      <c r="B611" s="59">
        <f t="shared" si="27"/>
        <v>0</v>
      </c>
      <c r="C611" s="59" t="str">
        <f t="shared" si="28"/>
        <v>Cundinamarca</v>
      </c>
      <c r="D611" s="59" t="str">
        <f t="shared" si="29"/>
        <v>Pulí, Cundinamarca</v>
      </c>
      <c r="E611" s="55">
        <v>25580</v>
      </c>
      <c r="F611" s="56">
        <v>0.2</v>
      </c>
      <c r="G611" s="56">
        <v>0.2</v>
      </c>
      <c r="H611" s="56" t="s">
        <v>36</v>
      </c>
      <c r="I611" s="56">
        <v>0.14000000000000001</v>
      </c>
      <c r="J611" s="57">
        <v>0.06</v>
      </c>
    </row>
    <row r="612" spans="1:10" ht="17.25" thickBot="1" x14ac:dyDescent="0.35">
      <c r="A612" s="58" t="s">
        <v>625</v>
      </c>
      <c r="B612" s="59">
        <f t="shared" si="27"/>
        <v>0</v>
      </c>
      <c r="C612" s="59" t="str">
        <f t="shared" si="28"/>
        <v>Cundinamarca</v>
      </c>
      <c r="D612" s="59" t="str">
        <f t="shared" si="29"/>
        <v>Quebradanegra, Cundinamarca</v>
      </c>
      <c r="E612" s="55">
        <v>25592</v>
      </c>
      <c r="F612" s="56">
        <v>0.15</v>
      </c>
      <c r="G612" s="56">
        <v>0.2</v>
      </c>
      <c r="H612" s="56" t="s">
        <v>36</v>
      </c>
      <c r="I612" s="56">
        <v>0.16</v>
      </c>
      <c r="J612" s="57">
        <v>0.06</v>
      </c>
    </row>
    <row r="613" spans="1:10" ht="17.25" thickBot="1" x14ac:dyDescent="0.35">
      <c r="A613" s="58" t="s">
        <v>626</v>
      </c>
      <c r="B613" s="59">
        <f t="shared" si="27"/>
        <v>0</v>
      </c>
      <c r="C613" s="59" t="str">
        <f t="shared" si="28"/>
        <v>Cundinamarca</v>
      </c>
      <c r="D613" s="59" t="str">
        <f t="shared" si="29"/>
        <v>Quetame, Cundinamarca</v>
      </c>
      <c r="E613" s="55">
        <v>25594</v>
      </c>
      <c r="F613" s="56">
        <v>0.25</v>
      </c>
      <c r="G613" s="56">
        <v>0.25</v>
      </c>
      <c r="H613" s="56" t="s">
        <v>39</v>
      </c>
      <c r="I613" s="56">
        <v>0.16</v>
      </c>
      <c r="J613" s="57">
        <v>0.08</v>
      </c>
    </row>
    <row r="614" spans="1:10" ht="17.25" thickBot="1" x14ac:dyDescent="0.35">
      <c r="A614" s="58" t="s">
        <v>627</v>
      </c>
      <c r="B614" s="59">
        <f t="shared" si="27"/>
        <v>0</v>
      </c>
      <c r="C614" s="59" t="str">
        <f t="shared" si="28"/>
        <v>Cundinamarca</v>
      </c>
      <c r="D614" s="59" t="str">
        <f t="shared" si="29"/>
        <v>Quipile, Cundinamarca</v>
      </c>
      <c r="E614" s="55">
        <v>25596</v>
      </c>
      <c r="F614" s="56">
        <v>0.15</v>
      </c>
      <c r="G614" s="56">
        <v>0.2</v>
      </c>
      <c r="H614" s="56" t="s">
        <v>36</v>
      </c>
      <c r="I614" s="56">
        <v>0.16</v>
      </c>
      <c r="J614" s="57">
        <v>0.08</v>
      </c>
    </row>
    <row r="615" spans="1:10" ht="17.25" thickBot="1" x14ac:dyDescent="0.35">
      <c r="A615" s="58" t="s">
        <v>628</v>
      </c>
      <c r="B615" s="59">
        <f t="shared" si="27"/>
        <v>0</v>
      </c>
      <c r="C615" s="59" t="str">
        <f t="shared" si="28"/>
        <v>Cundinamarca</v>
      </c>
      <c r="D615" s="59" t="str">
        <f t="shared" si="29"/>
        <v>Ricaurte, Cundinamarca</v>
      </c>
      <c r="E615" s="55">
        <v>25612</v>
      </c>
      <c r="F615" s="56">
        <v>0.2</v>
      </c>
      <c r="G615" s="56">
        <v>0.2</v>
      </c>
      <c r="H615" s="56" t="s">
        <v>36</v>
      </c>
      <c r="I615" s="56">
        <v>0.11</v>
      </c>
      <c r="J615" s="57">
        <v>0.06</v>
      </c>
    </row>
    <row r="616" spans="1:10" ht="17.25" thickBot="1" x14ac:dyDescent="0.35">
      <c r="A616" s="58" t="s">
        <v>629</v>
      </c>
      <c r="B616" s="59">
        <f t="shared" si="27"/>
        <v>0</v>
      </c>
      <c r="C616" s="59" t="str">
        <f t="shared" si="28"/>
        <v>Cundinamarca</v>
      </c>
      <c r="D616" s="59" t="str">
        <f t="shared" si="29"/>
        <v>San Antonio De Tequendama, Cundinamarca</v>
      </c>
      <c r="E616" s="55">
        <v>25645</v>
      </c>
      <c r="F616" s="56">
        <v>0.15</v>
      </c>
      <c r="G616" s="56">
        <v>0.2</v>
      </c>
      <c r="H616" s="56" t="s">
        <v>36</v>
      </c>
      <c r="I616" s="56">
        <v>0.1</v>
      </c>
      <c r="J616" s="57">
        <v>0.06</v>
      </c>
    </row>
    <row r="617" spans="1:10" ht="17.25" thickBot="1" x14ac:dyDescent="0.35">
      <c r="A617" s="58" t="s">
        <v>630</v>
      </c>
      <c r="B617" s="59">
        <f t="shared" si="27"/>
        <v>0</v>
      </c>
      <c r="C617" s="59" t="str">
        <f t="shared" si="28"/>
        <v>Cundinamarca</v>
      </c>
      <c r="D617" s="59" t="str">
        <f t="shared" si="29"/>
        <v>San Bernardo, Cundinamarca</v>
      </c>
      <c r="E617" s="55">
        <v>25649</v>
      </c>
      <c r="F617" s="56">
        <v>0.25</v>
      </c>
      <c r="G617" s="56">
        <v>0.2</v>
      </c>
      <c r="H617" s="56" t="s">
        <v>39</v>
      </c>
      <c r="I617" s="56">
        <v>0.1</v>
      </c>
      <c r="J617" s="57">
        <v>0.05</v>
      </c>
    </row>
    <row r="618" spans="1:10" ht="17.25" thickBot="1" x14ac:dyDescent="0.35">
      <c r="A618" s="58" t="s">
        <v>631</v>
      </c>
      <c r="B618" s="59">
        <f t="shared" si="27"/>
        <v>0</v>
      </c>
      <c r="C618" s="59" t="str">
        <f t="shared" si="28"/>
        <v>Cundinamarca</v>
      </c>
      <c r="D618" s="59" t="str">
        <f t="shared" si="29"/>
        <v>San Cayetano, Cundinamarca</v>
      </c>
      <c r="E618" s="55">
        <v>25653</v>
      </c>
      <c r="F618" s="56">
        <v>0.15</v>
      </c>
      <c r="G618" s="56">
        <v>0.15</v>
      </c>
      <c r="H618" s="56" t="s">
        <v>36</v>
      </c>
      <c r="I618" s="56">
        <v>0.1</v>
      </c>
      <c r="J618" s="57">
        <v>0.06</v>
      </c>
    </row>
    <row r="619" spans="1:10" ht="17.25" thickBot="1" x14ac:dyDescent="0.35">
      <c r="A619" s="58" t="s">
        <v>144</v>
      </c>
      <c r="B619" s="59">
        <f t="shared" si="27"/>
        <v>0</v>
      </c>
      <c r="C619" s="59" t="str">
        <f t="shared" si="28"/>
        <v>Cundinamarca</v>
      </c>
      <c r="D619" s="59" t="str">
        <f t="shared" si="29"/>
        <v>San Francisco, Cundinamarca</v>
      </c>
      <c r="E619" s="55">
        <v>25658</v>
      </c>
      <c r="F619" s="56">
        <v>0.15</v>
      </c>
      <c r="G619" s="56">
        <v>0.2</v>
      </c>
      <c r="H619" s="56" t="s">
        <v>36</v>
      </c>
      <c r="I619" s="56">
        <v>0.11</v>
      </c>
      <c r="J619" s="57">
        <v>0.06</v>
      </c>
    </row>
    <row r="620" spans="1:10" ht="17.25" thickBot="1" x14ac:dyDescent="0.35">
      <c r="A620" s="58" t="s">
        <v>632</v>
      </c>
      <c r="B620" s="59">
        <f t="shared" si="27"/>
        <v>0</v>
      </c>
      <c r="C620" s="59" t="str">
        <f t="shared" si="28"/>
        <v>Cundinamarca</v>
      </c>
      <c r="D620" s="59" t="str">
        <f t="shared" si="29"/>
        <v>San Juan De Rioseco, Cundinamarca</v>
      </c>
      <c r="E620" s="55">
        <v>25662</v>
      </c>
      <c r="F620" s="56">
        <v>0.2</v>
      </c>
      <c r="G620" s="56">
        <v>0.2</v>
      </c>
      <c r="H620" s="56" t="s">
        <v>36</v>
      </c>
      <c r="I620" s="56">
        <v>0.16</v>
      </c>
      <c r="J620" s="57">
        <v>0.06</v>
      </c>
    </row>
    <row r="621" spans="1:10" ht="17.25" thickBot="1" x14ac:dyDescent="0.35">
      <c r="A621" s="58" t="s">
        <v>633</v>
      </c>
      <c r="B621" s="59">
        <f t="shared" si="27"/>
        <v>0</v>
      </c>
      <c r="C621" s="59" t="str">
        <f t="shared" si="28"/>
        <v>Cundinamarca</v>
      </c>
      <c r="D621" s="59" t="str">
        <f t="shared" si="29"/>
        <v>Sasaima, Cundinamarca</v>
      </c>
      <c r="E621" s="55">
        <v>25718</v>
      </c>
      <c r="F621" s="56">
        <v>0.15</v>
      </c>
      <c r="G621" s="56">
        <v>0.2</v>
      </c>
      <c r="H621" s="56" t="s">
        <v>36</v>
      </c>
      <c r="I621" s="56">
        <v>0.16</v>
      </c>
      <c r="J621" s="57">
        <v>0.06</v>
      </c>
    </row>
    <row r="622" spans="1:10" ht="17.25" thickBot="1" x14ac:dyDescent="0.35">
      <c r="A622" s="58" t="s">
        <v>634</v>
      </c>
      <c r="B622" s="59">
        <f t="shared" si="27"/>
        <v>0</v>
      </c>
      <c r="C622" s="59" t="str">
        <f t="shared" si="28"/>
        <v>Cundinamarca</v>
      </c>
      <c r="D622" s="59" t="str">
        <f t="shared" si="29"/>
        <v>Sesquilé, Cundinamarca</v>
      </c>
      <c r="E622" s="55">
        <v>25736</v>
      </c>
      <c r="F622" s="56">
        <v>0.15</v>
      </c>
      <c r="G622" s="56">
        <v>0.2</v>
      </c>
      <c r="H622" s="56" t="s">
        <v>36</v>
      </c>
      <c r="I622" s="56">
        <v>0.1</v>
      </c>
      <c r="J622" s="57">
        <v>0.05</v>
      </c>
    </row>
    <row r="623" spans="1:10" ht="17.25" thickBot="1" x14ac:dyDescent="0.35">
      <c r="A623" s="58" t="s">
        <v>635</v>
      </c>
      <c r="B623" s="59">
        <f t="shared" si="27"/>
        <v>0</v>
      </c>
      <c r="C623" s="59" t="str">
        <f t="shared" si="28"/>
        <v>Cundinamarca</v>
      </c>
      <c r="D623" s="59" t="str">
        <f t="shared" si="29"/>
        <v>Sibaté, Cundinamarca</v>
      </c>
      <c r="E623" s="55">
        <v>25740</v>
      </c>
      <c r="F623" s="56">
        <v>0.15</v>
      </c>
      <c r="G623" s="56">
        <v>0.2</v>
      </c>
      <c r="H623" s="56" t="s">
        <v>36</v>
      </c>
      <c r="I623" s="56">
        <v>0.09</v>
      </c>
      <c r="J623" s="57">
        <v>0.05</v>
      </c>
    </row>
    <row r="624" spans="1:10" ht="17.25" thickBot="1" x14ac:dyDescent="0.35">
      <c r="A624" s="58" t="s">
        <v>636</v>
      </c>
      <c r="B624" s="59">
        <f t="shared" si="27"/>
        <v>0</v>
      </c>
      <c r="C624" s="59" t="str">
        <f t="shared" si="28"/>
        <v>Cundinamarca</v>
      </c>
      <c r="D624" s="59" t="str">
        <f t="shared" si="29"/>
        <v>Silvania, Cundinamarca</v>
      </c>
      <c r="E624" s="55">
        <v>25743</v>
      </c>
      <c r="F624" s="56">
        <v>0.2</v>
      </c>
      <c r="G624" s="56">
        <v>0.2</v>
      </c>
      <c r="H624" s="56" t="s">
        <v>36</v>
      </c>
      <c r="I624" s="56">
        <v>0.09</v>
      </c>
      <c r="J624" s="57">
        <v>0.05</v>
      </c>
    </row>
    <row r="625" spans="1:10" ht="17.25" thickBot="1" x14ac:dyDescent="0.35">
      <c r="A625" s="58" t="s">
        <v>637</v>
      </c>
      <c r="B625" s="59">
        <f t="shared" si="27"/>
        <v>0</v>
      </c>
      <c r="C625" s="59" t="str">
        <f t="shared" si="28"/>
        <v>Cundinamarca</v>
      </c>
      <c r="D625" s="59" t="str">
        <f t="shared" si="29"/>
        <v>Simijaca, Cundinamarca</v>
      </c>
      <c r="E625" s="55">
        <v>25745</v>
      </c>
      <c r="F625" s="56">
        <v>0.15</v>
      </c>
      <c r="G625" s="56">
        <v>0.15</v>
      </c>
      <c r="H625" s="56" t="s">
        <v>36</v>
      </c>
      <c r="I625" s="56">
        <v>0.09</v>
      </c>
      <c r="J625" s="57">
        <v>0.05</v>
      </c>
    </row>
    <row r="626" spans="1:10" ht="17.25" thickBot="1" x14ac:dyDescent="0.35">
      <c r="A626" s="58" t="s">
        <v>638</v>
      </c>
      <c r="B626" s="59">
        <f t="shared" si="27"/>
        <v>0</v>
      </c>
      <c r="C626" s="59" t="str">
        <f t="shared" si="28"/>
        <v>Cundinamarca</v>
      </c>
      <c r="D626" s="59" t="str">
        <f t="shared" si="29"/>
        <v>Soacha, Cundinamarca</v>
      </c>
      <c r="E626" s="55">
        <v>25754</v>
      </c>
      <c r="F626" s="56">
        <v>0.15</v>
      </c>
      <c r="G626" s="56">
        <v>0.2</v>
      </c>
      <c r="H626" s="56" t="s">
        <v>36</v>
      </c>
      <c r="I626" s="56">
        <v>0.09</v>
      </c>
      <c r="J626" s="57">
        <v>0.05</v>
      </c>
    </row>
    <row r="627" spans="1:10" ht="17.25" thickBot="1" x14ac:dyDescent="0.35">
      <c r="A627" s="58" t="s">
        <v>639</v>
      </c>
      <c r="B627" s="59">
        <f t="shared" si="27"/>
        <v>0</v>
      </c>
      <c r="C627" s="59" t="str">
        <f t="shared" si="28"/>
        <v>Cundinamarca</v>
      </c>
      <c r="D627" s="59" t="str">
        <f t="shared" si="29"/>
        <v>Sopó, Cundinamarca</v>
      </c>
      <c r="E627" s="55">
        <v>25758</v>
      </c>
      <c r="F627" s="56">
        <v>0.15</v>
      </c>
      <c r="G627" s="56">
        <v>0.2</v>
      </c>
      <c r="H627" s="56" t="s">
        <v>36</v>
      </c>
      <c r="I627" s="56">
        <v>0.09</v>
      </c>
      <c r="J627" s="57">
        <v>0.05</v>
      </c>
    </row>
    <row r="628" spans="1:10" ht="17.25" thickBot="1" x14ac:dyDescent="0.35">
      <c r="A628" s="58" t="s">
        <v>640</v>
      </c>
      <c r="B628" s="59">
        <f t="shared" si="27"/>
        <v>0</v>
      </c>
      <c r="C628" s="59" t="str">
        <f t="shared" si="28"/>
        <v>Cundinamarca</v>
      </c>
      <c r="D628" s="59" t="str">
        <f t="shared" si="29"/>
        <v>Subachoque, Cundinamarca</v>
      </c>
      <c r="E628" s="55">
        <v>25769</v>
      </c>
      <c r="F628" s="56">
        <v>0.15</v>
      </c>
      <c r="G628" s="56">
        <v>0.2</v>
      </c>
      <c r="H628" s="56" t="s">
        <v>36</v>
      </c>
      <c r="I628" s="56">
        <v>0.1</v>
      </c>
      <c r="J628" s="57">
        <v>0.06</v>
      </c>
    </row>
    <row r="629" spans="1:10" ht="17.25" thickBot="1" x14ac:dyDescent="0.35">
      <c r="A629" s="58" t="s">
        <v>641</v>
      </c>
      <c r="B629" s="59">
        <f t="shared" si="27"/>
        <v>0</v>
      </c>
      <c r="C629" s="59" t="str">
        <f t="shared" si="28"/>
        <v>Cundinamarca</v>
      </c>
      <c r="D629" s="59" t="str">
        <f t="shared" si="29"/>
        <v>Suesca, Cundinamarca</v>
      </c>
      <c r="E629" s="55">
        <v>25772</v>
      </c>
      <c r="F629" s="56">
        <v>0.15</v>
      </c>
      <c r="G629" s="56">
        <v>0.2</v>
      </c>
      <c r="H629" s="56" t="s">
        <v>36</v>
      </c>
      <c r="I629" s="56">
        <v>0.09</v>
      </c>
      <c r="J629" s="57">
        <v>0.05</v>
      </c>
    </row>
    <row r="630" spans="1:10" ht="17.25" thickBot="1" x14ac:dyDescent="0.35">
      <c r="A630" s="58" t="s">
        <v>642</v>
      </c>
      <c r="B630" s="59">
        <f t="shared" si="27"/>
        <v>0</v>
      </c>
      <c r="C630" s="59" t="str">
        <f t="shared" si="28"/>
        <v>Cundinamarca</v>
      </c>
      <c r="D630" s="59" t="str">
        <f t="shared" si="29"/>
        <v>Supatá, Cundinamarca</v>
      </c>
      <c r="E630" s="55">
        <v>25777</v>
      </c>
      <c r="F630" s="56">
        <v>0.15</v>
      </c>
      <c r="G630" s="56">
        <v>0.2</v>
      </c>
      <c r="H630" s="56" t="s">
        <v>36</v>
      </c>
      <c r="I630" s="56">
        <v>0.11</v>
      </c>
      <c r="J630" s="57">
        <v>0.06</v>
      </c>
    </row>
    <row r="631" spans="1:10" ht="17.25" thickBot="1" x14ac:dyDescent="0.35">
      <c r="A631" s="58" t="s">
        <v>643</v>
      </c>
      <c r="B631" s="59">
        <f t="shared" si="27"/>
        <v>0</v>
      </c>
      <c r="C631" s="59" t="str">
        <f t="shared" si="28"/>
        <v>Cundinamarca</v>
      </c>
      <c r="D631" s="59" t="str">
        <f t="shared" si="29"/>
        <v>Susa, Cundinamarca</v>
      </c>
      <c r="E631" s="55">
        <v>25779</v>
      </c>
      <c r="F631" s="56">
        <v>0.15</v>
      </c>
      <c r="G631" s="56">
        <v>0.2</v>
      </c>
      <c r="H631" s="56" t="s">
        <v>36</v>
      </c>
      <c r="I631" s="56">
        <v>0.09</v>
      </c>
      <c r="J631" s="57">
        <v>0.05</v>
      </c>
    </row>
    <row r="632" spans="1:10" ht="17.25" thickBot="1" x14ac:dyDescent="0.35">
      <c r="A632" s="58" t="s">
        <v>644</v>
      </c>
      <c r="B632" s="59">
        <f t="shared" si="27"/>
        <v>0</v>
      </c>
      <c r="C632" s="59" t="str">
        <f t="shared" si="28"/>
        <v>Cundinamarca</v>
      </c>
      <c r="D632" s="59" t="str">
        <f t="shared" si="29"/>
        <v>Sutatausa, Cundinamarca</v>
      </c>
      <c r="E632" s="55">
        <v>25781</v>
      </c>
      <c r="F632" s="56">
        <v>0.15</v>
      </c>
      <c r="G632" s="56">
        <v>0.2</v>
      </c>
      <c r="H632" s="56" t="s">
        <v>36</v>
      </c>
      <c r="I632" s="56">
        <v>0.08</v>
      </c>
      <c r="J632" s="57">
        <v>0.05</v>
      </c>
    </row>
    <row r="633" spans="1:10" ht="17.25" thickBot="1" x14ac:dyDescent="0.35">
      <c r="A633" s="58" t="s">
        <v>645</v>
      </c>
      <c r="B633" s="59">
        <f t="shared" si="27"/>
        <v>0</v>
      </c>
      <c r="C633" s="59" t="str">
        <f t="shared" si="28"/>
        <v>Cundinamarca</v>
      </c>
      <c r="D633" s="59" t="str">
        <f t="shared" si="29"/>
        <v>Tábio, Cundinamarca</v>
      </c>
      <c r="E633" s="55">
        <v>25785</v>
      </c>
      <c r="F633" s="56">
        <v>0.15</v>
      </c>
      <c r="G633" s="56">
        <v>0.2</v>
      </c>
      <c r="H633" s="56" t="s">
        <v>36</v>
      </c>
      <c r="I633" s="56">
        <v>0.09</v>
      </c>
      <c r="J633" s="57">
        <v>0.05</v>
      </c>
    </row>
    <row r="634" spans="1:10" ht="17.25" thickBot="1" x14ac:dyDescent="0.35">
      <c r="A634" s="58" t="s">
        <v>646</v>
      </c>
      <c r="B634" s="59">
        <f t="shared" si="27"/>
        <v>0</v>
      </c>
      <c r="C634" s="59" t="str">
        <f t="shared" si="28"/>
        <v>Cundinamarca</v>
      </c>
      <c r="D634" s="59" t="str">
        <f t="shared" si="29"/>
        <v>Tausa, Cundinamarca</v>
      </c>
      <c r="E634" s="55">
        <v>25793</v>
      </c>
      <c r="F634" s="56">
        <v>0.15</v>
      </c>
      <c r="G634" s="56">
        <v>0.2</v>
      </c>
      <c r="H634" s="56" t="s">
        <v>36</v>
      </c>
      <c r="I634" s="56">
        <v>0.09</v>
      </c>
      <c r="J634" s="57">
        <v>0.05</v>
      </c>
    </row>
    <row r="635" spans="1:10" ht="17.25" thickBot="1" x14ac:dyDescent="0.35">
      <c r="A635" s="58" t="s">
        <v>647</v>
      </c>
      <c r="B635" s="59">
        <f t="shared" si="27"/>
        <v>0</v>
      </c>
      <c r="C635" s="59" t="str">
        <f t="shared" si="28"/>
        <v>Cundinamarca</v>
      </c>
      <c r="D635" s="59" t="str">
        <f t="shared" si="29"/>
        <v>Tena, Cundinamarca</v>
      </c>
      <c r="E635" s="55">
        <v>25797</v>
      </c>
      <c r="F635" s="56">
        <v>0.15</v>
      </c>
      <c r="G635" s="56">
        <v>0.2</v>
      </c>
      <c r="H635" s="56" t="s">
        <v>36</v>
      </c>
      <c r="I635" s="56">
        <v>0.12</v>
      </c>
      <c r="J635" s="57">
        <v>0.06</v>
      </c>
    </row>
    <row r="636" spans="1:10" ht="17.25" thickBot="1" x14ac:dyDescent="0.35">
      <c r="A636" s="58" t="s">
        <v>648</v>
      </c>
      <c r="B636" s="59">
        <f t="shared" si="27"/>
        <v>0</v>
      </c>
      <c r="C636" s="59" t="str">
        <f t="shared" si="28"/>
        <v>Cundinamarca</v>
      </c>
      <c r="D636" s="59" t="str">
        <f t="shared" si="29"/>
        <v>Tenjo, Cundinamarca</v>
      </c>
      <c r="E636" s="55">
        <v>25799</v>
      </c>
      <c r="F636" s="56">
        <v>0.15</v>
      </c>
      <c r="G636" s="56">
        <v>0.2</v>
      </c>
      <c r="H636" s="56" t="s">
        <v>36</v>
      </c>
      <c r="I636" s="56">
        <v>0.09</v>
      </c>
      <c r="J636" s="57">
        <v>0.05</v>
      </c>
    </row>
    <row r="637" spans="1:10" ht="17.25" thickBot="1" x14ac:dyDescent="0.35">
      <c r="A637" s="58" t="s">
        <v>649</v>
      </c>
      <c r="B637" s="59">
        <f t="shared" si="27"/>
        <v>0</v>
      </c>
      <c r="C637" s="59" t="str">
        <f t="shared" si="28"/>
        <v>Cundinamarca</v>
      </c>
      <c r="D637" s="59" t="str">
        <f t="shared" si="29"/>
        <v>Tibacuy, Cundinamarca</v>
      </c>
      <c r="E637" s="55">
        <v>25805</v>
      </c>
      <c r="F637" s="56">
        <v>0.2</v>
      </c>
      <c r="G637" s="56">
        <v>0.2</v>
      </c>
      <c r="H637" s="56" t="s">
        <v>36</v>
      </c>
      <c r="I637" s="56">
        <v>0.09</v>
      </c>
      <c r="J637" s="57">
        <v>0.05</v>
      </c>
    </row>
    <row r="638" spans="1:10" ht="17.25" thickBot="1" x14ac:dyDescent="0.35">
      <c r="A638" s="58" t="s">
        <v>650</v>
      </c>
      <c r="B638" s="59">
        <f t="shared" si="27"/>
        <v>0</v>
      </c>
      <c r="C638" s="59" t="str">
        <f t="shared" si="28"/>
        <v>Cundinamarca</v>
      </c>
      <c r="D638" s="59" t="str">
        <f t="shared" si="29"/>
        <v>Tibiritá, Cundinamarca</v>
      </c>
      <c r="E638" s="55">
        <v>25807</v>
      </c>
      <c r="F638" s="56">
        <v>0.2</v>
      </c>
      <c r="G638" s="56">
        <v>0.25</v>
      </c>
      <c r="H638" s="56" t="s">
        <v>39</v>
      </c>
      <c r="I638" s="56">
        <v>0.15</v>
      </c>
      <c r="J638" s="57">
        <v>0.06</v>
      </c>
    </row>
    <row r="639" spans="1:10" ht="17.25" thickBot="1" x14ac:dyDescent="0.35">
      <c r="A639" s="58" t="s">
        <v>651</v>
      </c>
      <c r="B639" s="59">
        <f t="shared" si="27"/>
        <v>0</v>
      </c>
      <c r="C639" s="59" t="str">
        <f t="shared" si="28"/>
        <v>Cundinamarca</v>
      </c>
      <c r="D639" s="59" t="str">
        <f t="shared" si="29"/>
        <v>Tocaima, Cundinamarca</v>
      </c>
      <c r="E639" s="55">
        <v>25815</v>
      </c>
      <c r="F639" s="56">
        <v>0.2</v>
      </c>
      <c r="G639" s="56">
        <v>0.2</v>
      </c>
      <c r="H639" s="56" t="s">
        <v>36</v>
      </c>
      <c r="I639" s="56">
        <v>0.12</v>
      </c>
      <c r="J639" s="57">
        <v>0.06</v>
      </c>
    </row>
    <row r="640" spans="1:10" ht="17.25" thickBot="1" x14ac:dyDescent="0.35">
      <c r="A640" s="58" t="s">
        <v>652</v>
      </c>
      <c r="B640" s="59">
        <f t="shared" si="27"/>
        <v>0</v>
      </c>
      <c r="C640" s="59" t="str">
        <f t="shared" si="28"/>
        <v>Cundinamarca</v>
      </c>
      <c r="D640" s="59" t="str">
        <f t="shared" si="29"/>
        <v>Tocancipá, Cundinamarca</v>
      </c>
      <c r="E640" s="55">
        <v>25817</v>
      </c>
      <c r="F640" s="56">
        <v>0.15</v>
      </c>
      <c r="G640" s="56">
        <v>0.2</v>
      </c>
      <c r="H640" s="56" t="s">
        <v>36</v>
      </c>
      <c r="I640" s="56">
        <v>0.09</v>
      </c>
      <c r="J640" s="57">
        <v>0.05</v>
      </c>
    </row>
    <row r="641" spans="1:10" ht="17.25" thickBot="1" x14ac:dyDescent="0.35">
      <c r="A641" s="58" t="s">
        <v>653</v>
      </c>
      <c r="B641" s="59">
        <f t="shared" si="27"/>
        <v>0</v>
      </c>
      <c r="C641" s="59" t="str">
        <f t="shared" si="28"/>
        <v>Cundinamarca</v>
      </c>
      <c r="D641" s="59" t="str">
        <f t="shared" si="29"/>
        <v>Topaipí, Cundinamarca</v>
      </c>
      <c r="E641" s="55">
        <v>25823</v>
      </c>
      <c r="F641" s="56">
        <v>0.15</v>
      </c>
      <c r="G641" s="56">
        <v>0.15</v>
      </c>
      <c r="H641" s="56" t="s">
        <v>36</v>
      </c>
      <c r="I641" s="56">
        <v>0.15</v>
      </c>
      <c r="J641" s="57">
        <v>0.06</v>
      </c>
    </row>
    <row r="642" spans="1:10" ht="17.25" thickBot="1" x14ac:dyDescent="0.35">
      <c r="A642" s="58" t="s">
        <v>654</v>
      </c>
      <c r="B642" s="59">
        <f t="shared" si="27"/>
        <v>0</v>
      </c>
      <c r="C642" s="59" t="str">
        <f t="shared" si="28"/>
        <v>Cundinamarca</v>
      </c>
      <c r="D642" s="59" t="str">
        <f t="shared" si="29"/>
        <v>Ubalá, Cundinamarca</v>
      </c>
      <c r="E642" s="55">
        <v>25839</v>
      </c>
      <c r="F642" s="56">
        <v>0.25</v>
      </c>
      <c r="G642" s="56">
        <v>0.25</v>
      </c>
      <c r="H642" s="56" t="s">
        <v>39</v>
      </c>
      <c r="I642" s="56">
        <v>0.16</v>
      </c>
      <c r="J642" s="57">
        <v>0.06</v>
      </c>
    </row>
    <row r="643" spans="1:10" ht="17.25" thickBot="1" x14ac:dyDescent="0.35">
      <c r="A643" s="58" t="s">
        <v>655</v>
      </c>
      <c r="B643" s="59">
        <f t="shared" ref="B643:B706" si="30">IFERROR(FIND("Departamento",A643),0)</f>
        <v>0</v>
      </c>
      <c r="C643" s="59" t="str">
        <f t="shared" ref="C643:C706" si="31">IF(B643=1,IF(ISERROR(FIND("del",A643)),MID(A643,17,30),MID(A643,18,30)),C642)</f>
        <v>Cundinamarca</v>
      </c>
      <c r="D643" s="59" t="str">
        <f t="shared" ref="D643:D706" si="32">IF(B643=1,"",CONCATENATE(A643,", ",C643))</f>
        <v>Ubaque, Cundinamarca</v>
      </c>
      <c r="E643" s="55">
        <v>25841</v>
      </c>
      <c r="F643" s="56">
        <v>0.2</v>
      </c>
      <c r="G643" s="56">
        <v>0.25</v>
      </c>
      <c r="H643" s="56" t="s">
        <v>39</v>
      </c>
      <c r="I643" s="56">
        <v>0.12</v>
      </c>
      <c r="J643" s="57">
        <v>0.06</v>
      </c>
    </row>
    <row r="644" spans="1:10" ht="17.25" thickBot="1" x14ac:dyDescent="0.35">
      <c r="A644" s="58" t="s">
        <v>656</v>
      </c>
      <c r="B644" s="59">
        <f t="shared" si="30"/>
        <v>0</v>
      </c>
      <c r="C644" s="59" t="str">
        <f t="shared" si="31"/>
        <v>Cundinamarca</v>
      </c>
      <c r="D644" s="59" t="str">
        <f t="shared" si="32"/>
        <v>Ubaté, Cundinamarca</v>
      </c>
      <c r="E644" s="55">
        <v>25843</v>
      </c>
      <c r="F644" s="56">
        <v>0.15</v>
      </c>
      <c r="G644" s="56">
        <v>0.2</v>
      </c>
      <c r="H644" s="56" t="s">
        <v>36</v>
      </c>
      <c r="I644" s="56">
        <v>0.08</v>
      </c>
      <c r="J644" s="57">
        <v>0.05</v>
      </c>
    </row>
    <row r="645" spans="1:10" ht="17.25" thickBot="1" x14ac:dyDescent="0.35">
      <c r="A645" s="58" t="s">
        <v>657</v>
      </c>
      <c r="B645" s="59">
        <f t="shared" si="30"/>
        <v>0</v>
      </c>
      <c r="C645" s="59" t="str">
        <f t="shared" si="31"/>
        <v>Cundinamarca</v>
      </c>
      <c r="D645" s="59" t="str">
        <f t="shared" si="32"/>
        <v>Une, Cundinamarca</v>
      </c>
      <c r="E645" s="55">
        <v>25845</v>
      </c>
      <c r="F645" s="56">
        <v>0.2</v>
      </c>
      <c r="G645" s="56">
        <v>0.25</v>
      </c>
      <c r="H645" s="56" t="s">
        <v>39</v>
      </c>
      <c r="I645" s="56">
        <v>0.13</v>
      </c>
      <c r="J645" s="57">
        <v>0.06</v>
      </c>
    </row>
    <row r="646" spans="1:10" ht="17.25" thickBot="1" x14ac:dyDescent="0.35">
      <c r="A646" s="58" t="s">
        <v>658</v>
      </c>
      <c r="B646" s="59">
        <f t="shared" si="30"/>
        <v>0</v>
      </c>
      <c r="C646" s="59" t="str">
        <f t="shared" si="31"/>
        <v>Cundinamarca</v>
      </c>
      <c r="D646" s="59" t="str">
        <f t="shared" si="32"/>
        <v>Útica, Cundinamarca</v>
      </c>
      <c r="E646" s="55">
        <v>25851</v>
      </c>
      <c r="F646" s="56">
        <v>0.15</v>
      </c>
      <c r="G646" s="56">
        <v>0.2</v>
      </c>
      <c r="H646" s="56" t="s">
        <v>36</v>
      </c>
      <c r="I646" s="56">
        <v>0.18</v>
      </c>
      <c r="J646" s="57">
        <v>0.06</v>
      </c>
    </row>
    <row r="647" spans="1:10" ht="17.25" thickBot="1" x14ac:dyDescent="0.35">
      <c r="A647" s="58" t="s">
        <v>173</v>
      </c>
      <c r="B647" s="59">
        <f t="shared" si="30"/>
        <v>0</v>
      </c>
      <c r="C647" s="59" t="str">
        <f t="shared" si="31"/>
        <v>Cundinamarca</v>
      </c>
      <c r="D647" s="59" t="str">
        <f t="shared" si="32"/>
        <v>Venecia, Cundinamarca</v>
      </c>
      <c r="E647" s="55">
        <v>25506</v>
      </c>
      <c r="F647" s="56">
        <v>0.25</v>
      </c>
      <c r="G647" s="56">
        <v>0.2</v>
      </c>
      <c r="H647" s="56" t="s">
        <v>39</v>
      </c>
      <c r="I647" s="56">
        <v>0.1</v>
      </c>
      <c r="J647" s="57">
        <v>0.05</v>
      </c>
    </row>
    <row r="648" spans="1:10" ht="17.25" thickBot="1" x14ac:dyDescent="0.35">
      <c r="A648" s="58" t="s">
        <v>659</v>
      </c>
      <c r="B648" s="59">
        <f t="shared" si="30"/>
        <v>0</v>
      </c>
      <c r="C648" s="59" t="str">
        <f t="shared" si="31"/>
        <v>Cundinamarca</v>
      </c>
      <c r="D648" s="59" t="str">
        <f t="shared" si="32"/>
        <v>Vergara, Cundinamarca</v>
      </c>
      <c r="E648" s="55">
        <v>25862</v>
      </c>
      <c r="F648" s="56">
        <v>0.15</v>
      </c>
      <c r="G648" s="56">
        <v>0.2</v>
      </c>
      <c r="H648" s="56" t="s">
        <v>36</v>
      </c>
      <c r="I648" s="56">
        <v>0.12</v>
      </c>
      <c r="J648" s="57">
        <v>0.06</v>
      </c>
    </row>
    <row r="649" spans="1:10" ht="17.25" thickBot="1" x14ac:dyDescent="0.35">
      <c r="A649" s="58" t="s">
        <v>660</v>
      </c>
      <c r="B649" s="59">
        <f t="shared" si="30"/>
        <v>0</v>
      </c>
      <c r="C649" s="59" t="str">
        <f t="shared" si="31"/>
        <v>Cundinamarca</v>
      </c>
      <c r="D649" s="59" t="str">
        <f t="shared" si="32"/>
        <v>Vianí, Cundinamarca</v>
      </c>
      <c r="E649" s="55">
        <v>25867</v>
      </c>
      <c r="F649" s="56">
        <v>0.15</v>
      </c>
      <c r="G649" s="56">
        <v>0.2</v>
      </c>
      <c r="H649" s="56" t="s">
        <v>36</v>
      </c>
      <c r="I649" s="56">
        <v>0.16</v>
      </c>
      <c r="J649" s="57">
        <v>0.06</v>
      </c>
    </row>
    <row r="650" spans="1:10" ht="17.25" thickBot="1" x14ac:dyDescent="0.35">
      <c r="A650" s="58" t="s">
        <v>661</v>
      </c>
      <c r="B650" s="59">
        <f t="shared" si="30"/>
        <v>0</v>
      </c>
      <c r="C650" s="59" t="str">
        <f t="shared" si="31"/>
        <v>Cundinamarca</v>
      </c>
      <c r="D650" s="59" t="str">
        <f t="shared" si="32"/>
        <v>Villagómez, Cundinamarca</v>
      </c>
      <c r="E650" s="55">
        <v>25871</v>
      </c>
      <c r="F650" s="56">
        <v>0.15</v>
      </c>
      <c r="G650" s="56">
        <v>0.15</v>
      </c>
      <c r="H650" s="56" t="s">
        <v>36</v>
      </c>
      <c r="I650" s="56">
        <v>0.11</v>
      </c>
      <c r="J650" s="57">
        <v>0.06</v>
      </c>
    </row>
    <row r="651" spans="1:10" ht="17.25" thickBot="1" x14ac:dyDescent="0.35">
      <c r="A651" s="58" t="s">
        <v>662</v>
      </c>
      <c r="B651" s="59">
        <f t="shared" si="30"/>
        <v>0</v>
      </c>
      <c r="C651" s="59" t="str">
        <f t="shared" si="31"/>
        <v>Cundinamarca</v>
      </c>
      <c r="D651" s="59" t="str">
        <f t="shared" si="32"/>
        <v>Villapinzón, Cundinamarca</v>
      </c>
      <c r="E651" s="55">
        <v>25873</v>
      </c>
      <c r="F651" s="56">
        <v>0.2</v>
      </c>
      <c r="G651" s="56">
        <v>0.2</v>
      </c>
      <c r="H651" s="56" t="s">
        <v>36</v>
      </c>
      <c r="I651" s="56">
        <v>0.11</v>
      </c>
      <c r="J651" s="57">
        <v>0.05</v>
      </c>
    </row>
    <row r="652" spans="1:10" ht="17.25" thickBot="1" x14ac:dyDescent="0.35">
      <c r="A652" s="58" t="s">
        <v>663</v>
      </c>
      <c r="B652" s="59">
        <f t="shared" si="30"/>
        <v>0</v>
      </c>
      <c r="C652" s="59" t="str">
        <f t="shared" si="31"/>
        <v>Cundinamarca</v>
      </c>
      <c r="D652" s="59" t="str">
        <f t="shared" si="32"/>
        <v>Villeta, Cundinamarca</v>
      </c>
      <c r="E652" s="55">
        <v>25875</v>
      </c>
      <c r="F652" s="56">
        <v>0.15</v>
      </c>
      <c r="G652" s="56">
        <v>0.2</v>
      </c>
      <c r="H652" s="56" t="s">
        <v>36</v>
      </c>
      <c r="I652" s="56">
        <v>0.17</v>
      </c>
      <c r="J652" s="57">
        <v>0.06</v>
      </c>
    </row>
    <row r="653" spans="1:10" ht="17.25" thickBot="1" x14ac:dyDescent="0.35">
      <c r="A653" s="58" t="s">
        <v>664</v>
      </c>
      <c r="B653" s="59">
        <f t="shared" si="30"/>
        <v>0</v>
      </c>
      <c r="C653" s="59" t="str">
        <f t="shared" si="31"/>
        <v>Cundinamarca</v>
      </c>
      <c r="D653" s="59" t="str">
        <f t="shared" si="32"/>
        <v>Viotá, Cundinamarca</v>
      </c>
      <c r="E653" s="55">
        <v>25878</v>
      </c>
      <c r="F653" s="56">
        <v>0.2</v>
      </c>
      <c r="G653" s="56">
        <v>0.2</v>
      </c>
      <c r="H653" s="56" t="s">
        <v>36</v>
      </c>
      <c r="I653" s="56">
        <v>0.1</v>
      </c>
      <c r="J653" s="57">
        <v>0.05</v>
      </c>
    </row>
    <row r="654" spans="1:10" ht="17.25" thickBot="1" x14ac:dyDescent="0.35">
      <c r="A654" s="58" t="s">
        <v>665</v>
      </c>
      <c r="B654" s="59">
        <f t="shared" si="30"/>
        <v>0</v>
      </c>
      <c r="C654" s="59" t="str">
        <f t="shared" si="31"/>
        <v>Cundinamarca</v>
      </c>
      <c r="D654" s="59" t="str">
        <f t="shared" si="32"/>
        <v>Yacopí, Cundinamarca</v>
      </c>
      <c r="E654" s="55">
        <v>25885</v>
      </c>
      <c r="F654" s="56">
        <v>0.15</v>
      </c>
      <c r="G654" s="56">
        <v>0.15</v>
      </c>
      <c r="H654" s="56" t="s">
        <v>36</v>
      </c>
      <c r="I654" s="56">
        <v>0.15</v>
      </c>
      <c r="J654" s="57">
        <v>0.06</v>
      </c>
    </row>
    <row r="655" spans="1:10" ht="17.25" thickBot="1" x14ac:dyDescent="0.35">
      <c r="A655" s="58" t="s">
        <v>666</v>
      </c>
      <c r="B655" s="59">
        <f t="shared" si="30"/>
        <v>0</v>
      </c>
      <c r="C655" s="59" t="str">
        <f t="shared" si="31"/>
        <v>Cundinamarca</v>
      </c>
      <c r="D655" s="59" t="str">
        <f t="shared" si="32"/>
        <v>Zipacón, Cundinamarca</v>
      </c>
      <c r="E655" s="55">
        <v>25898</v>
      </c>
      <c r="F655" s="56">
        <v>0.15</v>
      </c>
      <c r="G655" s="56">
        <v>0.2</v>
      </c>
      <c r="H655" s="56" t="s">
        <v>36</v>
      </c>
      <c r="I655" s="56">
        <v>0.13</v>
      </c>
      <c r="J655" s="57">
        <v>0.06</v>
      </c>
    </row>
    <row r="656" spans="1:10" ht="17.25" thickBot="1" x14ac:dyDescent="0.35">
      <c r="A656" s="58" t="s">
        <v>667</v>
      </c>
      <c r="B656" s="59">
        <f t="shared" si="30"/>
        <v>0</v>
      </c>
      <c r="C656" s="59" t="str">
        <f t="shared" si="31"/>
        <v>Cundinamarca</v>
      </c>
      <c r="D656" s="59" t="str">
        <f t="shared" si="32"/>
        <v>Zipaquirá, Cundinamarca</v>
      </c>
      <c r="E656" s="55">
        <v>25899</v>
      </c>
      <c r="F656" s="56">
        <v>0.15</v>
      </c>
      <c r="G656" s="56">
        <v>0.2</v>
      </c>
      <c r="H656" s="56" t="s">
        <v>36</v>
      </c>
      <c r="I656" s="56">
        <v>0.09</v>
      </c>
      <c r="J656" s="57">
        <v>0.05</v>
      </c>
    </row>
    <row r="657" spans="1:10" ht="17.25" thickBot="1" x14ac:dyDescent="0.35">
      <c r="A657" s="43" t="s">
        <v>12</v>
      </c>
      <c r="B657" s="44">
        <v>1</v>
      </c>
      <c r="C657" s="44" t="str">
        <f>A657</f>
        <v>Distrito</v>
      </c>
      <c r="D657" s="44" t="str">
        <f t="shared" si="32"/>
        <v/>
      </c>
      <c r="E657" s="45" t="s">
        <v>668</v>
      </c>
      <c r="F657" s="46"/>
      <c r="G657" s="46"/>
      <c r="H657" s="46"/>
      <c r="I657" s="46"/>
      <c r="J657" s="47"/>
    </row>
    <row r="658" spans="1:10" ht="17.25" thickBot="1" x14ac:dyDescent="0.35">
      <c r="A658" s="53" t="s">
        <v>557</v>
      </c>
      <c r="B658" s="54">
        <f t="shared" si="30"/>
        <v>0</v>
      </c>
      <c r="C658" s="54" t="str">
        <f t="shared" si="31"/>
        <v>Distrito</v>
      </c>
      <c r="D658" s="54" t="str">
        <f t="shared" si="32"/>
        <v>Bogotá D.C., Distrito</v>
      </c>
      <c r="E658" s="55">
        <v>11001</v>
      </c>
      <c r="F658" s="56">
        <v>0.15</v>
      </c>
      <c r="G658" s="56">
        <v>0.2</v>
      </c>
      <c r="H658" s="56" t="s">
        <v>36</v>
      </c>
      <c r="I658" s="56">
        <v>0.13</v>
      </c>
      <c r="J658" s="57">
        <v>0.06</v>
      </c>
    </row>
    <row r="659" spans="1:10" ht="17.25" thickBot="1" x14ac:dyDescent="0.35">
      <c r="A659" s="43" t="s">
        <v>669</v>
      </c>
      <c r="B659" s="44">
        <f t="shared" si="30"/>
        <v>1</v>
      </c>
      <c r="C659" s="44" t="str">
        <f t="shared" si="31"/>
        <v>Guainía</v>
      </c>
      <c r="D659" s="44" t="str">
        <f t="shared" si="32"/>
        <v/>
      </c>
      <c r="E659" s="45"/>
      <c r="F659" s="46"/>
      <c r="G659" s="46"/>
      <c r="H659" s="46"/>
      <c r="I659" s="46"/>
      <c r="J659" s="47"/>
    </row>
    <row r="660" spans="1:10" ht="17.25" thickBot="1" x14ac:dyDescent="0.35">
      <c r="A660" s="53" t="s">
        <v>670</v>
      </c>
      <c r="B660" s="54">
        <f t="shared" si="30"/>
        <v>0</v>
      </c>
      <c r="C660" s="54" t="str">
        <f t="shared" si="31"/>
        <v>Guainía</v>
      </c>
      <c r="D660" s="54" t="str">
        <f t="shared" si="32"/>
        <v>Puerto Inírida, Guainía</v>
      </c>
      <c r="E660" s="55">
        <v>94001</v>
      </c>
      <c r="F660" s="56">
        <v>0.05</v>
      </c>
      <c r="G660" s="56">
        <v>0.05</v>
      </c>
      <c r="H660" s="56" t="s">
        <v>11</v>
      </c>
      <c r="I660" s="56">
        <v>0.04</v>
      </c>
      <c r="J660" s="57">
        <v>0.02</v>
      </c>
    </row>
    <row r="661" spans="1:10" ht="17.25" thickBot="1" x14ac:dyDescent="0.35">
      <c r="A661" s="58" t="s">
        <v>671</v>
      </c>
      <c r="B661" s="59">
        <f t="shared" si="30"/>
        <v>0</v>
      </c>
      <c r="C661" s="59" t="str">
        <f t="shared" si="31"/>
        <v>Guainía</v>
      </c>
      <c r="D661" s="59" t="str">
        <f t="shared" si="32"/>
        <v>Barranco Mina, Guainía</v>
      </c>
      <c r="E661" s="55">
        <v>94343</v>
      </c>
      <c r="F661" s="56">
        <v>0.05</v>
      </c>
      <c r="G661" s="56">
        <v>0.05</v>
      </c>
      <c r="H661" s="56" t="s">
        <v>11</v>
      </c>
      <c r="I661" s="56">
        <v>0.04</v>
      </c>
      <c r="J661" s="57">
        <v>0.02</v>
      </c>
    </row>
    <row r="662" spans="1:10" ht="17.25" thickBot="1" x14ac:dyDescent="0.35">
      <c r="A662" s="58" t="s">
        <v>672</v>
      </c>
      <c r="B662" s="59">
        <f t="shared" si="30"/>
        <v>0</v>
      </c>
      <c r="C662" s="59" t="str">
        <f t="shared" si="31"/>
        <v>Guainía</v>
      </c>
      <c r="D662" s="59" t="str">
        <f t="shared" si="32"/>
        <v>Cacahual, Guainía</v>
      </c>
      <c r="E662" s="55">
        <v>94886</v>
      </c>
      <c r="F662" s="56">
        <v>0.05</v>
      </c>
      <c r="G662" s="56">
        <v>0.05</v>
      </c>
      <c r="H662" s="56" t="s">
        <v>11</v>
      </c>
      <c r="I662" s="56">
        <v>0.04</v>
      </c>
      <c r="J662" s="57">
        <v>0.02</v>
      </c>
    </row>
    <row r="663" spans="1:10" ht="17.25" thickBot="1" x14ac:dyDescent="0.35">
      <c r="A663" s="58" t="s">
        <v>673</v>
      </c>
      <c r="B663" s="59">
        <f t="shared" si="30"/>
        <v>0</v>
      </c>
      <c r="C663" s="59" t="str">
        <f t="shared" si="31"/>
        <v>Guainía</v>
      </c>
      <c r="D663" s="59" t="str">
        <f t="shared" si="32"/>
        <v>La Guadalupe, Guainía</v>
      </c>
      <c r="E663" s="55">
        <v>94885</v>
      </c>
      <c r="F663" s="56">
        <v>0.05</v>
      </c>
      <c r="G663" s="56">
        <v>0.05</v>
      </c>
      <c r="H663" s="56" t="s">
        <v>11</v>
      </c>
      <c r="I663" s="56">
        <v>0.04</v>
      </c>
      <c r="J663" s="57">
        <v>0.02</v>
      </c>
    </row>
    <row r="664" spans="1:10" ht="17.25" thickBot="1" x14ac:dyDescent="0.35">
      <c r="A664" s="58" t="s">
        <v>674</v>
      </c>
      <c r="B664" s="59">
        <f t="shared" si="30"/>
        <v>0</v>
      </c>
      <c r="C664" s="59" t="str">
        <f t="shared" si="31"/>
        <v>Guainía</v>
      </c>
      <c r="D664" s="59" t="str">
        <f t="shared" si="32"/>
        <v>Mapiripaná, Guainía</v>
      </c>
      <c r="E664" s="55">
        <v>94663</v>
      </c>
      <c r="F664" s="56">
        <v>0.05</v>
      </c>
      <c r="G664" s="56">
        <v>0.05</v>
      </c>
      <c r="H664" s="56" t="s">
        <v>11</v>
      </c>
      <c r="I664" s="56">
        <v>0.04</v>
      </c>
      <c r="J664" s="57">
        <v>0.02</v>
      </c>
    </row>
    <row r="665" spans="1:10" ht="17.25" thickBot="1" x14ac:dyDescent="0.35">
      <c r="A665" s="58" t="s">
        <v>675</v>
      </c>
      <c r="B665" s="59">
        <f t="shared" si="30"/>
        <v>0</v>
      </c>
      <c r="C665" s="59" t="str">
        <f t="shared" si="31"/>
        <v>Guainía</v>
      </c>
      <c r="D665" s="59" t="str">
        <f t="shared" si="32"/>
        <v>Morichal, Guainía</v>
      </c>
      <c r="E665" s="55">
        <v>94888</v>
      </c>
      <c r="F665" s="56">
        <v>0.05</v>
      </c>
      <c r="G665" s="56">
        <v>0.05</v>
      </c>
      <c r="H665" s="56" t="s">
        <v>11</v>
      </c>
      <c r="I665" s="56">
        <v>0.04</v>
      </c>
      <c r="J665" s="57">
        <v>0.02</v>
      </c>
    </row>
    <row r="666" spans="1:10" ht="17.25" thickBot="1" x14ac:dyDescent="0.35">
      <c r="A666" s="58" t="s">
        <v>676</v>
      </c>
      <c r="B666" s="59">
        <f t="shared" si="30"/>
        <v>0</v>
      </c>
      <c r="C666" s="59" t="str">
        <f t="shared" si="31"/>
        <v>Guainía</v>
      </c>
      <c r="D666" s="59" t="str">
        <f t="shared" si="32"/>
        <v>Pana Pana, Guainía</v>
      </c>
      <c r="E666" s="55">
        <v>94887</v>
      </c>
      <c r="F666" s="56">
        <v>0.05</v>
      </c>
      <c r="G666" s="56">
        <v>0.05</v>
      </c>
      <c r="H666" s="56" t="s">
        <v>11</v>
      </c>
      <c r="I666" s="56">
        <v>0.04</v>
      </c>
      <c r="J666" s="57">
        <v>0.02</v>
      </c>
    </row>
    <row r="667" spans="1:10" ht="17.25" thickBot="1" x14ac:dyDescent="0.35">
      <c r="A667" s="58" t="s">
        <v>203</v>
      </c>
      <c r="B667" s="59">
        <f t="shared" si="30"/>
        <v>0</v>
      </c>
      <c r="C667" s="59" t="str">
        <f t="shared" si="31"/>
        <v>Guainía</v>
      </c>
      <c r="D667" s="59" t="str">
        <f t="shared" si="32"/>
        <v>Puerto Colombia, Guainía</v>
      </c>
      <c r="E667" s="55">
        <v>94884</v>
      </c>
      <c r="F667" s="56">
        <v>0.05</v>
      </c>
      <c r="G667" s="56">
        <v>0.05</v>
      </c>
      <c r="H667" s="56" t="s">
        <v>11</v>
      </c>
      <c r="I667" s="56">
        <v>0.04</v>
      </c>
      <c r="J667" s="57">
        <v>0.02</v>
      </c>
    </row>
    <row r="668" spans="1:10" ht="17.25" thickBot="1" x14ac:dyDescent="0.35">
      <c r="A668" s="58" t="s">
        <v>677</v>
      </c>
      <c r="B668" s="59">
        <f t="shared" si="30"/>
        <v>0</v>
      </c>
      <c r="C668" s="59" t="str">
        <f t="shared" si="31"/>
        <v>Guainía</v>
      </c>
      <c r="D668" s="59" t="str">
        <f t="shared" si="32"/>
        <v>San Felipe, Guainía</v>
      </c>
      <c r="E668" s="55">
        <v>94883</v>
      </c>
      <c r="F668" s="56">
        <v>0.05</v>
      </c>
      <c r="G668" s="56">
        <v>0.05</v>
      </c>
      <c r="H668" s="56" t="s">
        <v>11</v>
      </c>
      <c r="I668" s="56">
        <v>0.04</v>
      </c>
      <c r="J668" s="57">
        <v>0.02</v>
      </c>
    </row>
    <row r="669" spans="1:10" ht="17.25" thickBot="1" x14ac:dyDescent="0.35">
      <c r="A669" s="43" t="s">
        <v>678</v>
      </c>
      <c r="B669" s="44">
        <f t="shared" si="30"/>
        <v>1</v>
      </c>
      <c r="C669" s="44" t="str">
        <f t="shared" si="31"/>
        <v>La Guajira</v>
      </c>
      <c r="D669" s="44" t="str">
        <f t="shared" si="32"/>
        <v/>
      </c>
      <c r="E669" s="45"/>
      <c r="F669" s="46"/>
      <c r="G669" s="46"/>
      <c r="H669" s="46"/>
      <c r="I669" s="46"/>
      <c r="J669" s="47"/>
    </row>
    <row r="670" spans="1:10" ht="17.25" thickBot="1" x14ac:dyDescent="0.35">
      <c r="A670" s="53" t="s">
        <v>679</v>
      </c>
      <c r="B670" s="54">
        <f t="shared" si="30"/>
        <v>0</v>
      </c>
      <c r="C670" s="54" t="str">
        <f t="shared" si="31"/>
        <v>La Guajira</v>
      </c>
      <c r="D670" s="54" t="str">
        <f t="shared" si="32"/>
        <v>Riohacha, La Guajira</v>
      </c>
      <c r="E670" s="55">
        <v>44001</v>
      </c>
      <c r="F670" s="56">
        <v>0.1</v>
      </c>
      <c r="G670" s="56">
        <v>0.15</v>
      </c>
      <c r="H670" s="56" t="s">
        <v>36</v>
      </c>
      <c r="I670" s="56">
        <v>7.0000000000000007E-2</v>
      </c>
      <c r="J670" s="57">
        <v>0.04</v>
      </c>
    </row>
    <row r="671" spans="1:10" ht="17.25" thickBot="1" x14ac:dyDescent="0.35">
      <c r="A671" s="58" t="s">
        <v>405</v>
      </c>
      <c r="B671" s="59">
        <f t="shared" si="30"/>
        <v>0</v>
      </c>
      <c r="C671" s="59" t="str">
        <f t="shared" si="31"/>
        <v>La Guajira</v>
      </c>
      <c r="D671" s="59" t="str">
        <f t="shared" si="32"/>
        <v>Albania, La Guajira</v>
      </c>
      <c r="E671" s="55">
        <v>44035</v>
      </c>
      <c r="F671" s="56">
        <v>0.1</v>
      </c>
      <c r="G671" s="56">
        <v>0.1</v>
      </c>
      <c r="H671" s="56" t="s">
        <v>11</v>
      </c>
      <c r="I671" s="56">
        <v>0.08</v>
      </c>
      <c r="J671" s="57">
        <v>0.04</v>
      </c>
    </row>
    <row r="672" spans="1:10" ht="17.25" thickBot="1" x14ac:dyDescent="0.35">
      <c r="A672" s="58" t="s">
        <v>680</v>
      </c>
      <c r="B672" s="59">
        <f t="shared" si="30"/>
        <v>0</v>
      </c>
      <c r="C672" s="59" t="str">
        <f t="shared" si="31"/>
        <v>La Guajira</v>
      </c>
      <c r="D672" s="59" t="str">
        <f t="shared" si="32"/>
        <v>Barrancas, La Guajira</v>
      </c>
      <c r="E672" s="55">
        <v>44078</v>
      </c>
      <c r="F672" s="56">
        <v>0.15</v>
      </c>
      <c r="G672" s="56">
        <v>0.1</v>
      </c>
      <c r="H672" s="56" t="s">
        <v>36</v>
      </c>
      <c r="I672" s="56">
        <v>0.08</v>
      </c>
      <c r="J672" s="57">
        <v>0.04</v>
      </c>
    </row>
    <row r="673" spans="1:10" ht="17.25" thickBot="1" x14ac:dyDescent="0.35">
      <c r="A673" s="58" t="s">
        <v>681</v>
      </c>
      <c r="B673" s="59">
        <f t="shared" si="30"/>
        <v>0</v>
      </c>
      <c r="C673" s="59" t="str">
        <f t="shared" si="31"/>
        <v>La Guajira</v>
      </c>
      <c r="D673" s="59" t="str">
        <f t="shared" si="32"/>
        <v>Dibulla, La Guajira</v>
      </c>
      <c r="E673" s="55">
        <v>44090</v>
      </c>
      <c r="F673" s="56">
        <v>0.15</v>
      </c>
      <c r="G673" s="56">
        <v>0.1</v>
      </c>
      <c r="H673" s="56" t="s">
        <v>36</v>
      </c>
      <c r="I673" s="56">
        <v>0.08</v>
      </c>
      <c r="J673" s="57">
        <v>0.04</v>
      </c>
    </row>
    <row r="674" spans="1:10" ht="17.25" thickBot="1" x14ac:dyDescent="0.35">
      <c r="A674" s="58" t="s">
        <v>682</v>
      </c>
      <c r="B674" s="59">
        <f t="shared" si="30"/>
        <v>0</v>
      </c>
      <c r="C674" s="59" t="str">
        <f t="shared" si="31"/>
        <v>La Guajira</v>
      </c>
      <c r="D674" s="59" t="str">
        <f t="shared" si="32"/>
        <v>Distracción, La Guajira</v>
      </c>
      <c r="E674" s="55">
        <v>44098</v>
      </c>
      <c r="F674" s="56">
        <v>0.15</v>
      </c>
      <c r="G674" s="56">
        <v>0.1</v>
      </c>
      <c r="H674" s="56" t="s">
        <v>36</v>
      </c>
      <c r="I674" s="56">
        <v>0.08</v>
      </c>
      <c r="J674" s="57">
        <v>0.04</v>
      </c>
    </row>
    <row r="675" spans="1:10" ht="17.25" thickBot="1" x14ac:dyDescent="0.35">
      <c r="A675" s="58" t="s">
        <v>683</v>
      </c>
      <c r="B675" s="59">
        <f t="shared" si="30"/>
        <v>0</v>
      </c>
      <c r="C675" s="59" t="str">
        <f t="shared" si="31"/>
        <v>La Guajira</v>
      </c>
      <c r="D675" s="59" t="str">
        <f t="shared" si="32"/>
        <v>El Molino, La Guajira</v>
      </c>
      <c r="E675" s="55">
        <v>44110</v>
      </c>
      <c r="F675" s="56">
        <v>0.1</v>
      </c>
      <c r="G675" s="56">
        <v>0.1</v>
      </c>
      <c r="H675" s="56" t="s">
        <v>11</v>
      </c>
      <c r="I675" s="56">
        <v>0.06</v>
      </c>
      <c r="J675" s="57">
        <v>0.04</v>
      </c>
    </row>
    <row r="676" spans="1:10" ht="17.25" thickBot="1" x14ac:dyDescent="0.35">
      <c r="A676" s="58" t="s">
        <v>684</v>
      </c>
      <c r="B676" s="59">
        <f t="shared" si="30"/>
        <v>0</v>
      </c>
      <c r="C676" s="59" t="str">
        <f t="shared" si="31"/>
        <v>La Guajira</v>
      </c>
      <c r="D676" s="59" t="str">
        <f t="shared" si="32"/>
        <v>Fonseca, La Guajira</v>
      </c>
      <c r="E676" s="55">
        <v>44279</v>
      </c>
      <c r="F676" s="56">
        <v>0.15</v>
      </c>
      <c r="G676" s="56">
        <v>0.1</v>
      </c>
      <c r="H676" s="56" t="s">
        <v>36</v>
      </c>
      <c r="I676" s="56">
        <v>7.0000000000000007E-2</v>
      </c>
      <c r="J676" s="57">
        <v>0.04</v>
      </c>
    </row>
    <row r="677" spans="1:10" ht="17.25" thickBot="1" x14ac:dyDescent="0.35">
      <c r="A677" s="58" t="s">
        <v>685</v>
      </c>
      <c r="B677" s="59">
        <f t="shared" si="30"/>
        <v>0</v>
      </c>
      <c r="C677" s="59" t="str">
        <f t="shared" si="31"/>
        <v>La Guajira</v>
      </c>
      <c r="D677" s="59" t="str">
        <f t="shared" si="32"/>
        <v>HatoNuevo, La Guajira</v>
      </c>
      <c r="E677" s="55">
        <v>44378</v>
      </c>
      <c r="F677" s="56">
        <v>0.15</v>
      </c>
      <c r="G677" s="56">
        <v>0.1</v>
      </c>
      <c r="H677" s="56" t="s">
        <v>36</v>
      </c>
      <c r="I677" s="56">
        <v>0.08</v>
      </c>
      <c r="J677" s="57">
        <v>0.04</v>
      </c>
    </row>
    <row r="678" spans="1:10" ht="17.25" thickBot="1" x14ac:dyDescent="0.35">
      <c r="A678" s="58" t="s">
        <v>686</v>
      </c>
      <c r="B678" s="59">
        <f t="shared" si="30"/>
        <v>0</v>
      </c>
      <c r="C678" s="59" t="str">
        <f t="shared" si="31"/>
        <v>La Guajira</v>
      </c>
      <c r="D678" s="59" t="str">
        <f t="shared" si="32"/>
        <v>La Jagua del Pilar, La Guajira</v>
      </c>
      <c r="E678" s="55">
        <v>44420</v>
      </c>
      <c r="F678" s="56">
        <v>0.1</v>
      </c>
      <c r="G678" s="56">
        <v>0.1</v>
      </c>
      <c r="H678" s="56" t="s">
        <v>11</v>
      </c>
      <c r="I678" s="56">
        <v>0.05</v>
      </c>
      <c r="J678" s="57">
        <v>0.03</v>
      </c>
    </row>
    <row r="679" spans="1:10" ht="17.25" thickBot="1" x14ac:dyDescent="0.35">
      <c r="A679" s="58" t="s">
        <v>687</v>
      </c>
      <c r="B679" s="59">
        <f t="shared" si="30"/>
        <v>0</v>
      </c>
      <c r="C679" s="59" t="str">
        <f t="shared" si="31"/>
        <v>La Guajira</v>
      </c>
      <c r="D679" s="59" t="str">
        <f t="shared" si="32"/>
        <v>Maicao, La Guajira</v>
      </c>
      <c r="E679" s="55">
        <v>44430</v>
      </c>
      <c r="F679" s="56">
        <v>0.1</v>
      </c>
      <c r="G679" s="56">
        <v>0.15</v>
      </c>
      <c r="H679" s="56" t="s">
        <v>36</v>
      </c>
      <c r="I679" s="56">
        <v>7.0000000000000007E-2</v>
      </c>
      <c r="J679" s="57">
        <v>0.04</v>
      </c>
    </row>
    <row r="680" spans="1:10" ht="17.25" thickBot="1" x14ac:dyDescent="0.35">
      <c r="A680" s="58" t="s">
        <v>489</v>
      </c>
      <c r="B680" s="59">
        <f t="shared" si="30"/>
        <v>0</v>
      </c>
      <c r="C680" s="59" t="str">
        <f t="shared" si="31"/>
        <v>La Guajira</v>
      </c>
      <c r="D680" s="59" t="str">
        <f t="shared" si="32"/>
        <v>Manaure, La Guajira</v>
      </c>
      <c r="E680" s="55">
        <v>44560</v>
      </c>
      <c r="F680" s="56">
        <v>0.1</v>
      </c>
      <c r="G680" s="56">
        <v>0.15</v>
      </c>
      <c r="H680" s="56" t="s">
        <v>36</v>
      </c>
      <c r="I680" s="56">
        <v>7.0000000000000007E-2</v>
      </c>
      <c r="J680" s="57">
        <v>0.04</v>
      </c>
    </row>
    <row r="681" spans="1:10" ht="17.25" thickBot="1" x14ac:dyDescent="0.35">
      <c r="A681" s="58" t="s">
        <v>688</v>
      </c>
      <c r="B681" s="59">
        <f t="shared" si="30"/>
        <v>0</v>
      </c>
      <c r="C681" s="59" t="str">
        <f t="shared" si="31"/>
        <v>La Guajira</v>
      </c>
      <c r="D681" s="59" t="str">
        <f t="shared" si="32"/>
        <v>San Juan del Cesar, La Guajira</v>
      </c>
      <c r="E681" s="55">
        <v>44650</v>
      </c>
      <c r="F681" s="56">
        <v>0.15</v>
      </c>
      <c r="G681" s="56">
        <v>0.1</v>
      </c>
      <c r="H681" s="56" t="s">
        <v>36</v>
      </c>
      <c r="I681" s="56">
        <v>0.05</v>
      </c>
      <c r="J681" s="57">
        <v>0.03</v>
      </c>
    </row>
    <row r="682" spans="1:10" ht="17.25" thickBot="1" x14ac:dyDescent="0.35">
      <c r="A682" s="58" t="s">
        <v>689</v>
      </c>
      <c r="B682" s="59">
        <f t="shared" si="30"/>
        <v>0</v>
      </c>
      <c r="C682" s="59" t="str">
        <f t="shared" si="31"/>
        <v>La Guajira</v>
      </c>
      <c r="D682" s="59" t="str">
        <f t="shared" si="32"/>
        <v>Uribía, La Guajira</v>
      </c>
      <c r="E682" s="55">
        <v>44847</v>
      </c>
      <c r="F682" s="56">
        <v>0.15</v>
      </c>
      <c r="G682" s="56">
        <v>0.15</v>
      </c>
      <c r="H682" s="56" t="s">
        <v>36</v>
      </c>
      <c r="I682" s="56">
        <v>0.08</v>
      </c>
      <c r="J682" s="57">
        <v>0.04</v>
      </c>
    </row>
    <row r="683" spans="1:10" ht="17.25" thickBot="1" x14ac:dyDescent="0.35">
      <c r="A683" s="58" t="s">
        <v>690</v>
      </c>
      <c r="B683" s="59">
        <f t="shared" si="30"/>
        <v>0</v>
      </c>
      <c r="C683" s="59" t="str">
        <f t="shared" si="31"/>
        <v>La Guajira</v>
      </c>
      <c r="D683" s="59" t="str">
        <f t="shared" si="32"/>
        <v>Urumita, La Guajira</v>
      </c>
      <c r="E683" s="55">
        <v>44855</v>
      </c>
      <c r="F683" s="56">
        <v>0.1</v>
      </c>
      <c r="G683" s="56">
        <v>0.1</v>
      </c>
      <c r="H683" s="56" t="s">
        <v>11</v>
      </c>
      <c r="I683" s="56">
        <v>0.06</v>
      </c>
      <c r="J683" s="57">
        <v>0.03</v>
      </c>
    </row>
    <row r="684" spans="1:10" ht="17.25" thickBot="1" x14ac:dyDescent="0.35">
      <c r="A684" s="58" t="s">
        <v>255</v>
      </c>
      <c r="B684" s="59">
        <f t="shared" si="30"/>
        <v>0</v>
      </c>
      <c r="C684" s="59" t="str">
        <f t="shared" si="31"/>
        <v>La Guajira</v>
      </c>
      <c r="D684" s="59" t="str">
        <f t="shared" si="32"/>
        <v>Villanueva, La Guajira</v>
      </c>
      <c r="E684" s="55">
        <v>44874</v>
      </c>
      <c r="F684" s="56">
        <v>0.1</v>
      </c>
      <c r="G684" s="56">
        <v>0.1</v>
      </c>
      <c r="H684" s="56" t="s">
        <v>11</v>
      </c>
      <c r="I684" s="56">
        <v>0.05</v>
      </c>
      <c r="J684" s="57">
        <v>0.03</v>
      </c>
    </row>
    <row r="685" spans="1:10" ht="17.25" thickBot="1" x14ac:dyDescent="0.35">
      <c r="A685" s="43" t="s">
        <v>691</v>
      </c>
      <c r="B685" s="44">
        <f t="shared" si="30"/>
        <v>1</v>
      </c>
      <c r="C685" s="44" t="str">
        <f t="shared" si="31"/>
        <v>Guaviare</v>
      </c>
      <c r="D685" s="44" t="str">
        <f t="shared" si="32"/>
        <v/>
      </c>
      <c r="E685" s="45"/>
      <c r="F685" s="46"/>
      <c r="G685" s="46"/>
      <c r="H685" s="46"/>
      <c r="I685" s="46"/>
      <c r="J685" s="47"/>
    </row>
    <row r="686" spans="1:10" ht="17.25" thickBot="1" x14ac:dyDescent="0.35">
      <c r="A686" s="53" t="s">
        <v>692</v>
      </c>
      <c r="B686" s="54">
        <f t="shared" si="30"/>
        <v>0</v>
      </c>
      <c r="C686" s="54" t="str">
        <f t="shared" si="31"/>
        <v>Guaviare</v>
      </c>
      <c r="D686" s="54" t="str">
        <f t="shared" si="32"/>
        <v>San José del Guaviare, Guaviare</v>
      </c>
      <c r="E686" s="55">
        <v>95001</v>
      </c>
      <c r="F686" s="56">
        <v>0.05</v>
      </c>
      <c r="G686" s="56">
        <v>0.05</v>
      </c>
      <c r="H686" s="56" t="s">
        <v>11</v>
      </c>
      <c r="I686" s="56">
        <v>0.04</v>
      </c>
      <c r="J686" s="57">
        <v>0.02</v>
      </c>
    </row>
    <row r="687" spans="1:10" ht="17.25" thickBot="1" x14ac:dyDescent="0.35">
      <c r="A687" s="58" t="s">
        <v>220</v>
      </c>
      <c r="B687" s="59">
        <f t="shared" si="30"/>
        <v>0</v>
      </c>
      <c r="C687" s="59" t="str">
        <f t="shared" si="31"/>
        <v>Guaviare</v>
      </c>
      <c r="D687" s="59" t="str">
        <f t="shared" si="32"/>
        <v>Calamar, Guaviare</v>
      </c>
      <c r="E687" s="55">
        <v>95015</v>
      </c>
      <c r="F687" s="56">
        <v>0.05</v>
      </c>
      <c r="G687" s="56">
        <v>0.05</v>
      </c>
      <c r="H687" s="56" t="s">
        <v>11</v>
      </c>
      <c r="I687" s="56">
        <v>0.04</v>
      </c>
      <c r="J687" s="57">
        <v>0.02</v>
      </c>
    </row>
    <row r="688" spans="1:10" ht="17.25" thickBot="1" x14ac:dyDescent="0.35">
      <c r="A688" s="58" t="s">
        <v>693</v>
      </c>
      <c r="B688" s="59">
        <f t="shared" si="30"/>
        <v>0</v>
      </c>
      <c r="C688" s="59" t="str">
        <f t="shared" si="31"/>
        <v>Guaviare</v>
      </c>
      <c r="D688" s="59" t="str">
        <f t="shared" si="32"/>
        <v>El Retorno, Guaviare</v>
      </c>
      <c r="E688" s="55">
        <v>95025</v>
      </c>
      <c r="F688" s="56">
        <v>0.05</v>
      </c>
      <c r="G688" s="56">
        <v>0.05</v>
      </c>
      <c r="H688" s="56" t="s">
        <v>11</v>
      </c>
      <c r="I688" s="56">
        <v>0.04</v>
      </c>
      <c r="J688" s="57">
        <v>0.02</v>
      </c>
    </row>
    <row r="689" spans="1:10" ht="17.25" thickBot="1" x14ac:dyDescent="0.35">
      <c r="A689" s="58" t="s">
        <v>305</v>
      </c>
      <c r="B689" s="59">
        <f t="shared" si="30"/>
        <v>0</v>
      </c>
      <c r="C689" s="59" t="str">
        <f t="shared" si="31"/>
        <v>Guaviare</v>
      </c>
      <c r="D689" s="59" t="str">
        <f t="shared" si="32"/>
        <v>Miraflores, Guaviare</v>
      </c>
      <c r="E689" s="55">
        <v>95200</v>
      </c>
      <c r="F689" s="56">
        <v>0.05</v>
      </c>
      <c r="G689" s="56">
        <v>0.05</v>
      </c>
      <c r="H689" s="56" t="s">
        <v>11</v>
      </c>
      <c r="I689" s="56">
        <v>0.04</v>
      </c>
      <c r="J689" s="57">
        <v>0.02</v>
      </c>
    </row>
    <row r="690" spans="1:10" ht="17.25" thickBot="1" x14ac:dyDescent="0.35">
      <c r="A690" s="43" t="s">
        <v>694</v>
      </c>
      <c r="B690" s="44">
        <f t="shared" si="30"/>
        <v>1</v>
      </c>
      <c r="C690" s="44" t="str">
        <f t="shared" si="31"/>
        <v>Huila</v>
      </c>
      <c r="D690" s="44" t="str">
        <f t="shared" si="32"/>
        <v/>
      </c>
      <c r="E690" s="45"/>
      <c r="F690" s="46"/>
      <c r="G690" s="46"/>
      <c r="H690" s="46"/>
      <c r="I690" s="46"/>
      <c r="J690" s="47"/>
    </row>
    <row r="691" spans="1:10" ht="17.25" thickBot="1" x14ac:dyDescent="0.35">
      <c r="A691" s="53" t="s">
        <v>695</v>
      </c>
      <c r="B691" s="54">
        <f t="shared" si="30"/>
        <v>0</v>
      </c>
      <c r="C691" s="54" t="str">
        <f t="shared" si="31"/>
        <v>Huila</v>
      </c>
      <c r="D691" s="54" t="str">
        <f t="shared" si="32"/>
        <v>Neiva, Huila</v>
      </c>
      <c r="E691" s="55">
        <v>41001</v>
      </c>
      <c r="F691" s="56">
        <v>0.25</v>
      </c>
      <c r="G691" s="56">
        <v>0.25</v>
      </c>
      <c r="H691" s="56" t="s">
        <v>39</v>
      </c>
      <c r="I691" s="56">
        <v>0.2</v>
      </c>
      <c r="J691" s="57">
        <v>0.08</v>
      </c>
    </row>
    <row r="692" spans="1:10" ht="17.25" thickBot="1" x14ac:dyDescent="0.35">
      <c r="A692" s="58" t="s">
        <v>696</v>
      </c>
      <c r="B692" s="59">
        <f t="shared" si="30"/>
        <v>0</v>
      </c>
      <c r="C692" s="59" t="str">
        <f t="shared" si="31"/>
        <v>Huila</v>
      </c>
      <c r="D692" s="59" t="str">
        <f t="shared" si="32"/>
        <v>Acevedo, Huila</v>
      </c>
      <c r="E692" s="55">
        <v>41006</v>
      </c>
      <c r="F692" s="56">
        <v>0.3</v>
      </c>
      <c r="G692" s="56">
        <v>0.15</v>
      </c>
      <c r="H692" s="56" t="s">
        <v>39</v>
      </c>
      <c r="I692" s="56">
        <v>0.17</v>
      </c>
      <c r="J692" s="57">
        <v>0.06</v>
      </c>
    </row>
    <row r="693" spans="1:10" ht="17.25" thickBot="1" x14ac:dyDescent="0.35">
      <c r="A693" s="58" t="s">
        <v>697</v>
      </c>
      <c r="B693" s="59">
        <f t="shared" si="30"/>
        <v>0</v>
      </c>
      <c r="C693" s="59" t="str">
        <f t="shared" si="31"/>
        <v>Huila</v>
      </c>
      <c r="D693" s="59" t="str">
        <f t="shared" si="32"/>
        <v>Agrado, Huila</v>
      </c>
      <c r="E693" s="55">
        <v>41013</v>
      </c>
      <c r="F693" s="56">
        <v>0.3</v>
      </c>
      <c r="G693" s="56">
        <v>0.15</v>
      </c>
      <c r="H693" s="56" t="s">
        <v>39</v>
      </c>
      <c r="I693" s="56">
        <v>0.26</v>
      </c>
      <c r="J693" s="57">
        <v>0.08</v>
      </c>
    </row>
    <row r="694" spans="1:10" ht="17.25" thickBot="1" x14ac:dyDescent="0.35">
      <c r="A694" s="58" t="s">
        <v>698</v>
      </c>
      <c r="B694" s="59">
        <f t="shared" si="30"/>
        <v>0</v>
      </c>
      <c r="C694" s="59" t="str">
        <f t="shared" si="31"/>
        <v>Huila</v>
      </c>
      <c r="D694" s="59" t="str">
        <f t="shared" si="32"/>
        <v>Aipe, Huila</v>
      </c>
      <c r="E694" s="55">
        <v>41016</v>
      </c>
      <c r="F694" s="56">
        <v>0.25</v>
      </c>
      <c r="G694" s="56">
        <v>0.25</v>
      </c>
      <c r="H694" s="56" t="s">
        <v>39</v>
      </c>
      <c r="I694" s="56">
        <v>0.14000000000000001</v>
      </c>
      <c r="J694" s="57">
        <v>0.05</v>
      </c>
    </row>
    <row r="695" spans="1:10" ht="17.25" thickBot="1" x14ac:dyDescent="0.35">
      <c r="A695" s="58" t="s">
        <v>699</v>
      </c>
      <c r="B695" s="59">
        <f t="shared" si="30"/>
        <v>0</v>
      </c>
      <c r="C695" s="59" t="str">
        <f t="shared" si="31"/>
        <v>Huila</v>
      </c>
      <c r="D695" s="59" t="str">
        <f t="shared" si="32"/>
        <v>Algeciras, Huila</v>
      </c>
      <c r="E695" s="55">
        <v>41020</v>
      </c>
      <c r="F695" s="56">
        <v>0.3</v>
      </c>
      <c r="G695" s="56">
        <v>0.2</v>
      </c>
      <c r="H695" s="56" t="s">
        <v>39</v>
      </c>
      <c r="I695" s="56">
        <v>0.2</v>
      </c>
      <c r="J695" s="57">
        <v>0.08</v>
      </c>
    </row>
    <row r="696" spans="1:10" ht="17.25" thickBot="1" x14ac:dyDescent="0.35">
      <c r="A696" s="58" t="s">
        <v>700</v>
      </c>
      <c r="B696" s="59">
        <f t="shared" si="30"/>
        <v>0</v>
      </c>
      <c r="C696" s="59" t="str">
        <f t="shared" si="31"/>
        <v>Huila</v>
      </c>
      <c r="D696" s="59" t="str">
        <f t="shared" si="32"/>
        <v>Altamira, Huila</v>
      </c>
      <c r="E696" s="55">
        <v>41026</v>
      </c>
      <c r="F696" s="56">
        <v>0.3</v>
      </c>
      <c r="G696" s="56">
        <v>0.15</v>
      </c>
      <c r="H696" s="56" t="s">
        <v>39</v>
      </c>
      <c r="I696" s="56">
        <v>0.2</v>
      </c>
      <c r="J696" s="57">
        <v>0.08</v>
      </c>
    </row>
    <row r="697" spans="1:10" ht="17.25" thickBot="1" x14ac:dyDescent="0.35">
      <c r="A697" s="58" t="s">
        <v>701</v>
      </c>
      <c r="B697" s="59">
        <f t="shared" si="30"/>
        <v>0</v>
      </c>
      <c r="C697" s="59" t="str">
        <f t="shared" si="31"/>
        <v>Huila</v>
      </c>
      <c r="D697" s="59" t="str">
        <f t="shared" si="32"/>
        <v>Baraya, Huila</v>
      </c>
      <c r="E697" s="55">
        <v>41078</v>
      </c>
      <c r="F697" s="56">
        <v>0.3</v>
      </c>
      <c r="G697" s="56">
        <v>0.25</v>
      </c>
      <c r="H697" s="56" t="s">
        <v>39</v>
      </c>
      <c r="I697" s="56">
        <v>0.19</v>
      </c>
      <c r="J697" s="57">
        <v>0.08</v>
      </c>
    </row>
    <row r="698" spans="1:10" ht="17.25" thickBot="1" x14ac:dyDescent="0.35">
      <c r="A698" s="58" t="s">
        <v>702</v>
      </c>
      <c r="B698" s="59">
        <f t="shared" si="30"/>
        <v>0</v>
      </c>
      <c r="C698" s="59" t="str">
        <f t="shared" si="31"/>
        <v>Huila</v>
      </c>
      <c r="D698" s="59" t="str">
        <f t="shared" si="32"/>
        <v>Campoalegre, Huila</v>
      </c>
      <c r="E698" s="55">
        <v>41132</v>
      </c>
      <c r="F698" s="56">
        <v>0.3</v>
      </c>
      <c r="G698" s="56">
        <v>0.2</v>
      </c>
      <c r="H698" s="56" t="s">
        <v>39</v>
      </c>
      <c r="I698" s="56">
        <v>0.2</v>
      </c>
      <c r="J698" s="57">
        <v>0.08</v>
      </c>
    </row>
    <row r="699" spans="1:10" ht="17.25" thickBot="1" x14ac:dyDescent="0.35">
      <c r="A699" s="58" t="s">
        <v>703</v>
      </c>
      <c r="B699" s="59">
        <f t="shared" si="30"/>
        <v>0</v>
      </c>
      <c r="C699" s="59" t="str">
        <f t="shared" si="31"/>
        <v>Huila</v>
      </c>
      <c r="D699" s="59" t="str">
        <f t="shared" si="32"/>
        <v>Colombia, Huila</v>
      </c>
      <c r="E699" s="55">
        <v>41206</v>
      </c>
      <c r="F699" s="56">
        <v>0.3</v>
      </c>
      <c r="G699" s="56">
        <v>0.25</v>
      </c>
      <c r="H699" s="56" t="s">
        <v>39</v>
      </c>
      <c r="I699" s="56">
        <v>0.19</v>
      </c>
      <c r="J699" s="57">
        <v>0.08</v>
      </c>
    </row>
    <row r="700" spans="1:10" ht="17.25" thickBot="1" x14ac:dyDescent="0.35">
      <c r="A700" s="58" t="s">
        <v>704</v>
      </c>
      <c r="B700" s="59">
        <f t="shared" si="30"/>
        <v>0</v>
      </c>
      <c r="C700" s="59" t="str">
        <f t="shared" si="31"/>
        <v>Huila</v>
      </c>
      <c r="D700" s="59" t="str">
        <f t="shared" si="32"/>
        <v>Elías, Huila</v>
      </c>
      <c r="E700" s="55">
        <v>41244</v>
      </c>
      <c r="F700" s="56">
        <v>0.3</v>
      </c>
      <c r="G700" s="56">
        <v>0.15</v>
      </c>
      <c r="H700" s="56" t="s">
        <v>39</v>
      </c>
      <c r="I700" s="56">
        <v>0.2</v>
      </c>
      <c r="J700" s="57">
        <v>0.08</v>
      </c>
    </row>
    <row r="701" spans="1:10" ht="17.25" thickBot="1" x14ac:dyDescent="0.35">
      <c r="A701" s="58" t="s">
        <v>705</v>
      </c>
      <c r="B701" s="59">
        <f t="shared" si="30"/>
        <v>0</v>
      </c>
      <c r="C701" s="59" t="str">
        <f t="shared" si="31"/>
        <v>Huila</v>
      </c>
      <c r="D701" s="59" t="str">
        <f t="shared" si="32"/>
        <v>Garzón, Huila</v>
      </c>
      <c r="E701" s="55">
        <v>41298</v>
      </c>
      <c r="F701" s="56">
        <v>0.3</v>
      </c>
      <c r="G701" s="56">
        <v>0.15</v>
      </c>
      <c r="H701" s="56" t="s">
        <v>39</v>
      </c>
      <c r="I701" s="56">
        <v>0.2</v>
      </c>
      <c r="J701" s="57">
        <v>7.0000000000000007E-2</v>
      </c>
    </row>
    <row r="702" spans="1:10" ht="17.25" thickBot="1" x14ac:dyDescent="0.35">
      <c r="A702" s="58" t="s">
        <v>706</v>
      </c>
      <c r="B702" s="59">
        <f t="shared" si="30"/>
        <v>0</v>
      </c>
      <c r="C702" s="59" t="str">
        <f t="shared" si="31"/>
        <v>Huila</v>
      </c>
      <c r="D702" s="59" t="str">
        <f t="shared" si="32"/>
        <v>Gigante, Huila</v>
      </c>
      <c r="E702" s="55">
        <v>41306</v>
      </c>
      <c r="F702" s="56">
        <v>0.3</v>
      </c>
      <c r="G702" s="56">
        <v>0.15</v>
      </c>
      <c r="H702" s="56" t="s">
        <v>39</v>
      </c>
      <c r="I702" s="56">
        <v>0.2</v>
      </c>
      <c r="J702" s="57">
        <v>0.08</v>
      </c>
    </row>
    <row r="703" spans="1:10" ht="17.25" thickBot="1" x14ac:dyDescent="0.35">
      <c r="A703" s="58" t="s">
        <v>108</v>
      </c>
      <c r="B703" s="59">
        <f t="shared" si="30"/>
        <v>0</v>
      </c>
      <c r="C703" s="59" t="str">
        <f t="shared" si="31"/>
        <v>Huila</v>
      </c>
      <c r="D703" s="59" t="str">
        <f t="shared" si="32"/>
        <v>Guadalupe, Huila</v>
      </c>
      <c r="E703" s="55">
        <v>41319</v>
      </c>
      <c r="F703" s="56">
        <v>0.3</v>
      </c>
      <c r="G703" s="56">
        <v>0.15</v>
      </c>
      <c r="H703" s="56" t="s">
        <v>39</v>
      </c>
      <c r="I703" s="56">
        <v>0.16</v>
      </c>
      <c r="J703" s="57">
        <v>0.06</v>
      </c>
    </row>
    <row r="704" spans="1:10" ht="17.25" thickBot="1" x14ac:dyDescent="0.35">
      <c r="A704" s="58" t="s">
        <v>707</v>
      </c>
      <c r="B704" s="59">
        <f t="shared" si="30"/>
        <v>0</v>
      </c>
      <c r="C704" s="59" t="str">
        <f t="shared" si="31"/>
        <v>Huila</v>
      </c>
      <c r="D704" s="59" t="str">
        <f t="shared" si="32"/>
        <v>Hobo, Huila</v>
      </c>
      <c r="E704" s="55">
        <v>41349</v>
      </c>
      <c r="F704" s="56">
        <v>0.3</v>
      </c>
      <c r="G704" s="56">
        <v>0.2</v>
      </c>
      <c r="H704" s="56" t="s">
        <v>39</v>
      </c>
      <c r="I704" s="56">
        <v>0.2</v>
      </c>
      <c r="J704" s="57">
        <v>0.08</v>
      </c>
    </row>
    <row r="705" spans="1:10" ht="17.25" thickBot="1" x14ac:dyDescent="0.35">
      <c r="A705" s="58" t="s">
        <v>708</v>
      </c>
      <c r="B705" s="59">
        <f t="shared" si="30"/>
        <v>0</v>
      </c>
      <c r="C705" s="59" t="str">
        <f t="shared" si="31"/>
        <v>Huila</v>
      </c>
      <c r="D705" s="59" t="str">
        <f t="shared" si="32"/>
        <v>Iquira, Huila</v>
      </c>
      <c r="E705" s="55">
        <v>41357</v>
      </c>
      <c r="F705" s="56">
        <v>0.25</v>
      </c>
      <c r="G705" s="56">
        <v>0.2</v>
      </c>
      <c r="H705" s="56" t="s">
        <v>39</v>
      </c>
      <c r="I705" s="56">
        <v>0.16</v>
      </c>
      <c r="J705" s="57">
        <v>0.06</v>
      </c>
    </row>
    <row r="706" spans="1:10" ht="17.25" thickBot="1" x14ac:dyDescent="0.35">
      <c r="A706" s="58" t="s">
        <v>709</v>
      </c>
      <c r="B706" s="59">
        <f t="shared" si="30"/>
        <v>0</v>
      </c>
      <c r="C706" s="59" t="str">
        <f t="shared" si="31"/>
        <v>Huila</v>
      </c>
      <c r="D706" s="59" t="str">
        <f t="shared" si="32"/>
        <v>Isnos, Huila</v>
      </c>
      <c r="E706" s="55">
        <v>41359</v>
      </c>
      <c r="F706" s="56">
        <v>0.25</v>
      </c>
      <c r="G706" s="56">
        <v>0.2</v>
      </c>
      <c r="H706" s="56" t="s">
        <v>39</v>
      </c>
      <c r="I706" s="56">
        <v>0.19</v>
      </c>
      <c r="J706" s="57">
        <v>7.0000000000000007E-2</v>
      </c>
    </row>
    <row r="707" spans="1:10" ht="17.25" thickBot="1" x14ac:dyDescent="0.35">
      <c r="A707" s="58" t="s">
        <v>710</v>
      </c>
      <c r="B707" s="59">
        <f t="shared" ref="B707:B770" si="33">IFERROR(FIND("Departamento",A707),0)</f>
        <v>0</v>
      </c>
      <c r="C707" s="59" t="str">
        <f t="shared" ref="C707:C770" si="34">IF(B707=1,IF(ISERROR(FIND("del",A707)),MID(A707,17,30),MID(A707,18,30)),C706)</f>
        <v>Huila</v>
      </c>
      <c r="D707" s="59" t="str">
        <f t="shared" ref="D707:D770" si="35">IF(B707=1,"",CONCATENATE(A707,", ",C707))</f>
        <v>La Argentina, Huila</v>
      </c>
      <c r="E707" s="55">
        <v>41378</v>
      </c>
      <c r="F707" s="56">
        <v>0.25</v>
      </c>
      <c r="G707" s="56">
        <v>0.15</v>
      </c>
      <c r="H707" s="56" t="s">
        <v>39</v>
      </c>
      <c r="I707" s="56">
        <v>0.19</v>
      </c>
      <c r="J707" s="57">
        <v>7.0000000000000007E-2</v>
      </c>
    </row>
    <row r="708" spans="1:10" ht="17.25" thickBot="1" x14ac:dyDescent="0.35">
      <c r="A708" s="58" t="s">
        <v>711</v>
      </c>
      <c r="B708" s="59">
        <f t="shared" si="33"/>
        <v>0</v>
      </c>
      <c r="C708" s="59" t="str">
        <f t="shared" si="34"/>
        <v>Huila</v>
      </c>
      <c r="D708" s="59" t="str">
        <f t="shared" si="35"/>
        <v>La Plata, Huila</v>
      </c>
      <c r="E708" s="55">
        <v>41396</v>
      </c>
      <c r="F708" s="56">
        <v>0.25</v>
      </c>
      <c r="G708" s="56">
        <v>0.15</v>
      </c>
      <c r="H708" s="56" t="s">
        <v>39</v>
      </c>
      <c r="I708" s="56">
        <v>0.19</v>
      </c>
      <c r="J708" s="57">
        <v>7.0000000000000007E-2</v>
      </c>
    </row>
    <row r="709" spans="1:10" ht="17.25" thickBot="1" x14ac:dyDescent="0.35">
      <c r="A709" s="58" t="s">
        <v>712</v>
      </c>
      <c r="B709" s="59">
        <f t="shared" si="33"/>
        <v>0</v>
      </c>
      <c r="C709" s="59" t="str">
        <f t="shared" si="34"/>
        <v>Huila</v>
      </c>
      <c r="D709" s="59" t="str">
        <f t="shared" si="35"/>
        <v>Nátaga, Huila</v>
      </c>
      <c r="E709" s="55">
        <v>41483</v>
      </c>
      <c r="F709" s="56">
        <v>0.25</v>
      </c>
      <c r="G709" s="56">
        <v>0.2</v>
      </c>
      <c r="H709" s="56" t="s">
        <v>39</v>
      </c>
      <c r="I709" s="56">
        <v>0.19</v>
      </c>
      <c r="J709" s="57">
        <v>7.0000000000000007E-2</v>
      </c>
    </row>
    <row r="710" spans="1:10" ht="17.25" thickBot="1" x14ac:dyDescent="0.35">
      <c r="A710" s="58" t="s">
        <v>713</v>
      </c>
      <c r="B710" s="59">
        <f t="shared" si="33"/>
        <v>0</v>
      </c>
      <c r="C710" s="59" t="str">
        <f t="shared" si="34"/>
        <v>Huila</v>
      </c>
      <c r="D710" s="59" t="str">
        <f t="shared" si="35"/>
        <v>Oporapa, Huila</v>
      </c>
      <c r="E710" s="55">
        <v>41503</v>
      </c>
      <c r="F710" s="56">
        <v>0.3</v>
      </c>
      <c r="G710" s="56">
        <v>0.15</v>
      </c>
      <c r="H710" s="56" t="s">
        <v>39</v>
      </c>
      <c r="I710" s="56">
        <v>0.2</v>
      </c>
      <c r="J710" s="57">
        <v>0.08</v>
      </c>
    </row>
    <row r="711" spans="1:10" ht="17.25" thickBot="1" x14ac:dyDescent="0.35">
      <c r="A711" s="58" t="s">
        <v>714</v>
      </c>
      <c r="B711" s="59">
        <f t="shared" si="33"/>
        <v>0</v>
      </c>
      <c r="C711" s="59" t="str">
        <f t="shared" si="34"/>
        <v>Huila</v>
      </c>
      <c r="D711" s="59" t="str">
        <f t="shared" si="35"/>
        <v>Paicol, Huila</v>
      </c>
      <c r="E711" s="55">
        <v>41518</v>
      </c>
      <c r="F711" s="56">
        <v>0.25</v>
      </c>
      <c r="G711" s="56">
        <v>0.2</v>
      </c>
      <c r="H711" s="56" t="s">
        <v>39</v>
      </c>
      <c r="I711" s="56">
        <v>0.2</v>
      </c>
      <c r="J711" s="57">
        <v>0.08</v>
      </c>
    </row>
    <row r="712" spans="1:10" ht="17.25" thickBot="1" x14ac:dyDescent="0.35">
      <c r="A712" s="58" t="s">
        <v>715</v>
      </c>
      <c r="B712" s="59">
        <f t="shared" si="33"/>
        <v>0</v>
      </c>
      <c r="C712" s="59" t="str">
        <f t="shared" si="34"/>
        <v>Huila</v>
      </c>
      <c r="D712" s="59" t="str">
        <f t="shared" si="35"/>
        <v>Palermo, Huila</v>
      </c>
      <c r="E712" s="55">
        <v>41524</v>
      </c>
      <c r="F712" s="56">
        <v>0.25</v>
      </c>
      <c r="G712" s="56">
        <v>0.25</v>
      </c>
      <c r="H712" s="56" t="s">
        <v>39</v>
      </c>
      <c r="I712" s="56">
        <v>0.18</v>
      </c>
      <c r="J712" s="57">
        <v>7.0000000000000007E-2</v>
      </c>
    </row>
    <row r="713" spans="1:10" ht="17.25" thickBot="1" x14ac:dyDescent="0.35">
      <c r="A713" s="58" t="s">
        <v>393</v>
      </c>
      <c r="B713" s="59">
        <f t="shared" si="33"/>
        <v>0</v>
      </c>
      <c r="C713" s="59" t="str">
        <f t="shared" si="34"/>
        <v>Huila</v>
      </c>
      <c r="D713" s="59" t="str">
        <f t="shared" si="35"/>
        <v>Palestina, Huila</v>
      </c>
      <c r="E713" s="55">
        <v>41530</v>
      </c>
      <c r="F713" s="56">
        <v>0.3</v>
      </c>
      <c r="G713" s="56">
        <v>0.2</v>
      </c>
      <c r="H713" s="56" t="s">
        <v>39</v>
      </c>
      <c r="I713" s="56">
        <v>0.2</v>
      </c>
      <c r="J713" s="57">
        <v>0.08</v>
      </c>
    </row>
    <row r="714" spans="1:10" ht="17.25" thickBot="1" x14ac:dyDescent="0.35">
      <c r="A714" s="58" t="s">
        <v>716</v>
      </c>
      <c r="B714" s="59">
        <f t="shared" si="33"/>
        <v>0</v>
      </c>
      <c r="C714" s="59" t="str">
        <f t="shared" si="34"/>
        <v>Huila</v>
      </c>
      <c r="D714" s="59" t="str">
        <f t="shared" si="35"/>
        <v>Pital, Huila</v>
      </c>
      <c r="E714" s="55">
        <v>41548</v>
      </c>
      <c r="F714" s="56">
        <v>0.3</v>
      </c>
      <c r="G714" s="56">
        <v>0.15</v>
      </c>
      <c r="H714" s="56" t="s">
        <v>39</v>
      </c>
      <c r="I714" s="56">
        <v>0.2</v>
      </c>
      <c r="J714" s="57">
        <v>0.08</v>
      </c>
    </row>
    <row r="715" spans="1:10" ht="17.25" thickBot="1" x14ac:dyDescent="0.35">
      <c r="A715" s="58" t="s">
        <v>717</v>
      </c>
      <c r="B715" s="59">
        <f t="shared" si="33"/>
        <v>0</v>
      </c>
      <c r="C715" s="59" t="str">
        <f t="shared" si="34"/>
        <v>Huila</v>
      </c>
      <c r="D715" s="59" t="str">
        <f t="shared" si="35"/>
        <v>Pitalito, Huila</v>
      </c>
      <c r="E715" s="55">
        <v>41551</v>
      </c>
      <c r="F715" s="56">
        <v>0.3</v>
      </c>
      <c r="G715" s="56">
        <v>0.15</v>
      </c>
      <c r="H715" s="56" t="s">
        <v>39</v>
      </c>
      <c r="I715" s="56">
        <v>0.2</v>
      </c>
      <c r="J715" s="57">
        <v>0.08</v>
      </c>
    </row>
    <row r="716" spans="1:10" ht="17.25" thickBot="1" x14ac:dyDescent="0.35">
      <c r="A716" s="58" t="s">
        <v>718</v>
      </c>
      <c r="B716" s="59">
        <f t="shared" si="33"/>
        <v>0</v>
      </c>
      <c r="C716" s="59" t="str">
        <f t="shared" si="34"/>
        <v>Huila</v>
      </c>
      <c r="D716" s="59" t="str">
        <f t="shared" si="35"/>
        <v>Rivera, Huila</v>
      </c>
      <c r="E716" s="55">
        <v>41615</v>
      </c>
      <c r="F716" s="56">
        <v>0.3</v>
      </c>
      <c r="G716" s="56">
        <v>0.2</v>
      </c>
      <c r="H716" s="56" t="s">
        <v>39</v>
      </c>
      <c r="I716" s="56">
        <v>0.2</v>
      </c>
      <c r="J716" s="57">
        <v>0.08</v>
      </c>
    </row>
    <row r="717" spans="1:10" ht="17.25" thickBot="1" x14ac:dyDescent="0.35">
      <c r="A717" s="58" t="s">
        <v>719</v>
      </c>
      <c r="B717" s="59">
        <f t="shared" si="33"/>
        <v>0</v>
      </c>
      <c r="C717" s="59" t="str">
        <f t="shared" si="34"/>
        <v>Huila</v>
      </c>
      <c r="D717" s="59" t="str">
        <f t="shared" si="35"/>
        <v>Saladoblanco, Huila</v>
      </c>
      <c r="E717" s="55">
        <v>41660</v>
      </c>
      <c r="F717" s="56">
        <v>0.25</v>
      </c>
      <c r="G717" s="56">
        <v>0.2</v>
      </c>
      <c r="H717" s="56" t="s">
        <v>39</v>
      </c>
      <c r="I717" s="56">
        <v>0.2</v>
      </c>
      <c r="J717" s="57">
        <v>7.0000000000000007E-2</v>
      </c>
    </row>
    <row r="718" spans="1:10" ht="17.25" thickBot="1" x14ac:dyDescent="0.35">
      <c r="A718" s="58" t="s">
        <v>720</v>
      </c>
      <c r="B718" s="59">
        <f t="shared" si="33"/>
        <v>0</v>
      </c>
      <c r="C718" s="59" t="str">
        <f t="shared" si="34"/>
        <v>Huila</v>
      </c>
      <c r="D718" s="59" t="str">
        <f t="shared" si="35"/>
        <v>San Agustín, Huila</v>
      </c>
      <c r="E718" s="55">
        <v>41668</v>
      </c>
      <c r="F718" s="56">
        <v>0.25</v>
      </c>
      <c r="G718" s="56">
        <v>0.2</v>
      </c>
      <c r="H718" s="56" t="s">
        <v>39</v>
      </c>
      <c r="I718" s="56">
        <v>0.19</v>
      </c>
      <c r="J718" s="57">
        <v>0.08</v>
      </c>
    </row>
    <row r="719" spans="1:10" ht="17.25" thickBot="1" x14ac:dyDescent="0.35">
      <c r="A719" s="58" t="s">
        <v>340</v>
      </c>
      <c r="B719" s="59">
        <f t="shared" si="33"/>
        <v>0</v>
      </c>
      <c r="C719" s="59" t="str">
        <f t="shared" si="34"/>
        <v>Huila</v>
      </c>
      <c r="D719" s="59" t="str">
        <f t="shared" si="35"/>
        <v>Santa María, Huila</v>
      </c>
      <c r="E719" s="55">
        <v>41676</v>
      </c>
      <c r="F719" s="56">
        <v>0.25</v>
      </c>
      <c r="G719" s="56">
        <v>0.2</v>
      </c>
      <c r="H719" s="56" t="s">
        <v>39</v>
      </c>
      <c r="I719" s="56">
        <v>0.14000000000000001</v>
      </c>
      <c r="J719" s="57">
        <v>0.05</v>
      </c>
    </row>
    <row r="720" spans="1:10" ht="17.25" thickBot="1" x14ac:dyDescent="0.35">
      <c r="A720" s="58" t="s">
        <v>721</v>
      </c>
      <c r="B720" s="59">
        <f t="shared" si="33"/>
        <v>0</v>
      </c>
      <c r="C720" s="59" t="str">
        <f t="shared" si="34"/>
        <v>Huila</v>
      </c>
      <c r="D720" s="59" t="str">
        <f t="shared" si="35"/>
        <v>Suazá, Huila</v>
      </c>
      <c r="E720" s="55">
        <v>41770</v>
      </c>
      <c r="F720" s="56">
        <v>0.3</v>
      </c>
      <c r="G720" s="56">
        <v>0.15</v>
      </c>
      <c r="H720" s="56" t="s">
        <v>39</v>
      </c>
      <c r="I720" s="56">
        <v>0.16</v>
      </c>
      <c r="J720" s="57">
        <v>0.06</v>
      </c>
    </row>
    <row r="721" spans="1:10" ht="17.25" thickBot="1" x14ac:dyDescent="0.35">
      <c r="A721" s="58" t="s">
        <v>722</v>
      </c>
      <c r="B721" s="59">
        <f t="shared" si="33"/>
        <v>0</v>
      </c>
      <c r="C721" s="59" t="str">
        <f t="shared" si="34"/>
        <v>Huila</v>
      </c>
      <c r="D721" s="59" t="str">
        <f t="shared" si="35"/>
        <v>Tarquí, Huila</v>
      </c>
      <c r="E721" s="55">
        <v>41791</v>
      </c>
      <c r="F721" s="56">
        <v>0.3</v>
      </c>
      <c r="G721" s="56">
        <v>0.15</v>
      </c>
      <c r="H721" s="56" t="s">
        <v>39</v>
      </c>
      <c r="I721" s="56">
        <v>0.2</v>
      </c>
      <c r="J721" s="57">
        <v>0.08</v>
      </c>
    </row>
    <row r="722" spans="1:10" ht="17.25" thickBot="1" x14ac:dyDescent="0.35">
      <c r="A722" s="58" t="s">
        <v>723</v>
      </c>
      <c r="B722" s="59">
        <f t="shared" si="33"/>
        <v>0</v>
      </c>
      <c r="C722" s="59" t="str">
        <f t="shared" si="34"/>
        <v>Huila</v>
      </c>
      <c r="D722" s="59" t="str">
        <f t="shared" si="35"/>
        <v>Tello, Huila</v>
      </c>
      <c r="E722" s="55">
        <v>41799</v>
      </c>
      <c r="F722" s="56">
        <v>0.3</v>
      </c>
      <c r="G722" s="56">
        <v>0.25</v>
      </c>
      <c r="H722" s="56" t="s">
        <v>39</v>
      </c>
      <c r="I722" s="56">
        <v>0.19</v>
      </c>
      <c r="J722" s="57">
        <v>0.08</v>
      </c>
    </row>
    <row r="723" spans="1:10" ht="17.25" thickBot="1" x14ac:dyDescent="0.35">
      <c r="A723" s="58" t="s">
        <v>724</v>
      </c>
      <c r="B723" s="59">
        <f t="shared" si="33"/>
        <v>0</v>
      </c>
      <c r="C723" s="59" t="str">
        <f t="shared" si="34"/>
        <v>Huila</v>
      </c>
      <c r="D723" s="59" t="str">
        <f t="shared" si="35"/>
        <v>Teruel, Huila</v>
      </c>
      <c r="E723" s="55">
        <v>41801</v>
      </c>
      <c r="F723" s="56">
        <v>0.25</v>
      </c>
      <c r="G723" s="56">
        <v>0.2</v>
      </c>
      <c r="H723" s="56" t="s">
        <v>39</v>
      </c>
      <c r="I723" s="56">
        <v>0.19</v>
      </c>
      <c r="J723" s="57">
        <v>7.0000000000000007E-2</v>
      </c>
    </row>
    <row r="724" spans="1:10" ht="17.25" thickBot="1" x14ac:dyDescent="0.35">
      <c r="A724" s="58" t="s">
        <v>725</v>
      </c>
      <c r="B724" s="59">
        <f t="shared" si="33"/>
        <v>0</v>
      </c>
      <c r="C724" s="59" t="str">
        <f t="shared" si="34"/>
        <v>Huila</v>
      </c>
      <c r="D724" s="59" t="str">
        <f t="shared" si="35"/>
        <v>Tesalia, Huila</v>
      </c>
      <c r="E724" s="55">
        <v>41797</v>
      </c>
      <c r="F724" s="56">
        <v>0.25</v>
      </c>
      <c r="G724" s="56">
        <v>0.2</v>
      </c>
      <c r="H724" s="56" t="s">
        <v>39</v>
      </c>
      <c r="I724" s="56">
        <v>0.19</v>
      </c>
      <c r="J724" s="57">
        <v>7.0000000000000007E-2</v>
      </c>
    </row>
    <row r="725" spans="1:10" ht="17.25" thickBot="1" x14ac:dyDescent="0.35">
      <c r="A725" s="58" t="s">
        <v>726</v>
      </c>
      <c r="B725" s="59">
        <f t="shared" si="33"/>
        <v>0</v>
      </c>
      <c r="C725" s="59" t="str">
        <f t="shared" si="34"/>
        <v>Huila</v>
      </c>
      <c r="D725" s="59" t="str">
        <f t="shared" si="35"/>
        <v>Timaná, Huila</v>
      </c>
      <c r="E725" s="55">
        <v>41807</v>
      </c>
      <c r="F725" s="56">
        <v>0.3</v>
      </c>
      <c r="G725" s="56">
        <v>0.15</v>
      </c>
      <c r="H725" s="56" t="s">
        <v>39</v>
      </c>
      <c r="I725" s="56">
        <v>0.2</v>
      </c>
      <c r="J725" s="57">
        <v>0.08</v>
      </c>
    </row>
    <row r="726" spans="1:10" ht="17.25" thickBot="1" x14ac:dyDescent="0.35">
      <c r="A726" s="58" t="s">
        <v>727</v>
      </c>
      <c r="B726" s="59">
        <f t="shared" si="33"/>
        <v>0</v>
      </c>
      <c r="C726" s="59" t="str">
        <f t="shared" si="34"/>
        <v>Huila</v>
      </c>
      <c r="D726" s="59" t="str">
        <f t="shared" si="35"/>
        <v>Villavieja, Huila</v>
      </c>
      <c r="E726" s="55">
        <v>41872</v>
      </c>
      <c r="F726" s="56">
        <v>0.25</v>
      </c>
      <c r="G726" s="56">
        <v>0.25</v>
      </c>
      <c r="H726" s="56" t="s">
        <v>39</v>
      </c>
      <c r="I726" s="56">
        <v>0.19</v>
      </c>
      <c r="J726" s="57">
        <v>7.0000000000000007E-2</v>
      </c>
    </row>
    <row r="727" spans="1:10" ht="17.25" thickBot="1" x14ac:dyDescent="0.35">
      <c r="A727" s="58" t="s">
        <v>728</v>
      </c>
      <c r="B727" s="59">
        <f t="shared" si="33"/>
        <v>0</v>
      </c>
      <c r="C727" s="59" t="str">
        <f t="shared" si="34"/>
        <v>Huila</v>
      </c>
      <c r="D727" s="59" t="str">
        <f t="shared" si="35"/>
        <v>Yaguará, Huila</v>
      </c>
      <c r="E727" s="55">
        <v>41885</v>
      </c>
      <c r="F727" s="56">
        <v>0.25</v>
      </c>
      <c r="G727" s="56">
        <v>0.2</v>
      </c>
      <c r="H727" s="56" t="s">
        <v>39</v>
      </c>
      <c r="I727" s="56">
        <v>0.19</v>
      </c>
      <c r="J727" s="57">
        <v>0.08</v>
      </c>
    </row>
    <row r="728" spans="1:10" ht="17.25" thickBot="1" x14ac:dyDescent="0.35">
      <c r="A728" s="43" t="s">
        <v>729</v>
      </c>
      <c r="B728" s="44">
        <f t="shared" si="33"/>
        <v>1</v>
      </c>
      <c r="C728" s="44" t="str">
        <f t="shared" si="34"/>
        <v>Magdalena</v>
      </c>
      <c r="D728" s="44" t="str">
        <f t="shared" si="35"/>
        <v/>
      </c>
      <c r="E728" s="45"/>
      <c r="F728" s="46"/>
      <c r="G728" s="46"/>
      <c r="H728" s="46"/>
      <c r="I728" s="46"/>
      <c r="J728" s="47"/>
    </row>
    <row r="729" spans="1:10" ht="17.25" thickBot="1" x14ac:dyDescent="0.35">
      <c r="A729" s="53" t="s">
        <v>730</v>
      </c>
      <c r="B729" s="54">
        <f t="shared" si="33"/>
        <v>0</v>
      </c>
      <c r="C729" s="54" t="str">
        <f t="shared" si="34"/>
        <v>Magdalena</v>
      </c>
      <c r="D729" s="54" t="str">
        <f t="shared" si="35"/>
        <v>Santa Marta, Magdalena</v>
      </c>
      <c r="E729" s="55">
        <v>47001</v>
      </c>
      <c r="F729" s="56">
        <v>0.15</v>
      </c>
      <c r="G729" s="56">
        <v>0.1</v>
      </c>
      <c r="H729" s="56" t="s">
        <v>36</v>
      </c>
      <c r="I729" s="56">
        <v>0.1</v>
      </c>
      <c r="J729" s="57">
        <v>0.04</v>
      </c>
    </row>
    <row r="730" spans="1:10" ht="17.25" thickBot="1" x14ac:dyDescent="0.35">
      <c r="A730" s="58" t="s">
        <v>731</v>
      </c>
      <c r="B730" s="59">
        <f t="shared" si="33"/>
        <v>0</v>
      </c>
      <c r="C730" s="59" t="str">
        <f t="shared" si="34"/>
        <v>Magdalena</v>
      </c>
      <c r="D730" s="59" t="str">
        <f t="shared" si="35"/>
        <v>Algarrobo, Magdalena</v>
      </c>
      <c r="E730" s="55">
        <v>47030</v>
      </c>
      <c r="F730" s="56">
        <v>0.1</v>
      </c>
      <c r="G730" s="56">
        <v>0.1</v>
      </c>
      <c r="H730" s="56" t="s">
        <v>11</v>
      </c>
      <c r="I730" s="56">
        <v>0.05</v>
      </c>
      <c r="J730" s="57">
        <v>0.02</v>
      </c>
    </row>
    <row r="731" spans="1:10" ht="17.25" thickBot="1" x14ac:dyDescent="0.35">
      <c r="A731" s="58" t="s">
        <v>732</v>
      </c>
      <c r="B731" s="59">
        <f t="shared" si="33"/>
        <v>0</v>
      </c>
      <c r="C731" s="59" t="str">
        <f t="shared" si="34"/>
        <v>Magdalena</v>
      </c>
      <c r="D731" s="59" t="str">
        <f t="shared" si="35"/>
        <v>Aracataca, Magdalena</v>
      </c>
      <c r="E731" s="55">
        <v>47053</v>
      </c>
      <c r="F731" s="56">
        <v>0.1</v>
      </c>
      <c r="G731" s="56">
        <v>0.1</v>
      </c>
      <c r="H731" s="56" t="s">
        <v>11</v>
      </c>
      <c r="I731" s="56">
        <v>0.04</v>
      </c>
      <c r="J731" s="57">
        <v>0.02</v>
      </c>
    </row>
    <row r="732" spans="1:10" ht="17.25" thickBot="1" x14ac:dyDescent="0.35">
      <c r="A732" s="58" t="s">
        <v>733</v>
      </c>
      <c r="B732" s="59">
        <f t="shared" si="33"/>
        <v>0</v>
      </c>
      <c r="C732" s="59" t="str">
        <f t="shared" si="34"/>
        <v>Magdalena</v>
      </c>
      <c r="D732" s="59" t="str">
        <f t="shared" si="35"/>
        <v>Ariguaní, Magdalena</v>
      </c>
      <c r="E732" s="55">
        <v>47058</v>
      </c>
      <c r="F732" s="56">
        <v>0.1</v>
      </c>
      <c r="G732" s="56">
        <v>0.1</v>
      </c>
      <c r="H732" s="56" t="s">
        <v>11</v>
      </c>
      <c r="I732" s="56">
        <v>0.04</v>
      </c>
      <c r="J732" s="57">
        <v>0.02</v>
      </c>
    </row>
    <row r="733" spans="1:10" ht="17.25" thickBot="1" x14ac:dyDescent="0.35">
      <c r="A733" s="58" t="s">
        <v>734</v>
      </c>
      <c r="B733" s="59">
        <f t="shared" si="33"/>
        <v>0</v>
      </c>
      <c r="C733" s="59" t="str">
        <f t="shared" si="34"/>
        <v>Magdalena</v>
      </c>
      <c r="D733" s="59" t="str">
        <f t="shared" si="35"/>
        <v>Cerro San Antonio, Magdalena</v>
      </c>
      <c r="E733" s="55">
        <v>47161</v>
      </c>
      <c r="F733" s="56">
        <v>0.1</v>
      </c>
      <c r="G733" s="56">
        <v>0.1</v>
      </c>
      <c r="H733" s="56" t="s">
        <v>11</v>
      </c>
      <c r="I733" s="56">
        <v>0.04</v>
      </c>
      <c r="J733" s="57">
        <v>0.02</v>
      </c>
    </row>
    <row r="734" spans="1:10" ht="17.25" thickBot="1" x14ac:dyDescent="0.35">
      <c r="A734" s="58" t="s">
        <v>735</v>
      </c>
      <c r="B734" s="59">
        <f t="shared" si="33"/>
        <v>0</v>
      </c>
      <c r="C734" s="59" t="str">
        <f t="shared" si="34"/>
        <v>Magdalena</v>
      </c>
      <c r="D734" s="59" t="str">
        <f t="shared" si="35"/>
        <v>Chivolo, Magdalena</v>
      </c>
      <c r="E734" s="55">
        <v>47170</v>
      </c>
      <c r="F734" s="56">
        <v>0.1</v>
      </c>
      <c r="G734" s="56">
        <v>0.1</v>
      </c>
      <c r="H734" s="56" t="s">
        <v>11</v>
      </c>
      <c r="I734" s="56">
        <v>0.04</v>
      </c>
      <c r="J734" s="57">
        <v>0.02</v>
      </c>
    </row>
    <row r="735" spans="1:10" ht="17.25" thickBot="1" x14ac:dyDescent="0.35">
      <c r="A735" s="58" t="s">
        <v>736</v>
      </c>
      <c r="B735" s="59">
        <f t="shared" si="33"/>
        <v>0</v>
      </c>
      <c r="C735" s="59" t="str">
        <f t="shared" si="34"/>
        <v>Magdalena</v>
      </c>
      <c r="D735" s="59" t="str">
        <f t="shared" si="35"/>
        <v>Ciénaga, Magdalena</v>
      </c>
      <c r="E735" s="55">
        <v>47189</v>
      </c>
      <c r="F735" s="56">
        <v>0.1</v>
      </c>
      <c r="G735" s="56">
        <v>0.1</v>
      </c>
      <c r="H735" s="56" t="s">
        <v>11</v>
      </c>
      <c r="I735" s="56">
        <v>0.06</v>
      </c>
      <c r="J735" s="57">
        <v>0.02</v>
      </c>
    </row>
    <row r="736" spans="1:10" ht="17.25" thickBot="1" x14ac:dyDescent="0.35">
      <c r="A736" s="58" t="s">
        <v>94</v>
      </c>
      <c r="B736" s="59">
        <f t="shared" si="33"/>
        <v>0</v>
      </c>
      <c r="C736" s="59" t="str">
        <f t="shared" si="34"/>
        <v>Magdalena</v>
      </c>
      <c r="D736" s="59" t="str">
        <f t="shared" si="35"/>
        <v>Concordia, Magdalena</v>
      </c>
      <c r="E736" s="55">
        <v>47205</v>
      </c>
      <c r="F736" s="56">
        <v>0.1</v>
      </c>
      <c r="G736" s="56">
        <v>0.1</v>
      </c>
      <c r="H736" s="56" t="s">
        <v>11</v>
      </c>
      <c r="I736" s="56">
        <v>0.04</v>
      </c>
      <c r="J736" s="57">
        <v>0.02</v>
      </c>
    </row>
    <row r="737" spans="1:10" ht="17.25" thickBot="1" x14ac:dyDescent="0.35">
      <c r="A737" s="58" t="s">
        <v>737</v>
      </c>
      <c r="B737" s="59">
        <f t="shared" si="33"/>
        <v>0</v>
      </c>
      <c r="C737" s="59" t="str">
        <f t="shared" si="34"/>
        <v>Magdalena</v>
      </c>
      <c r="D737" s="59" t="str">
        <f t="shared" si="35"/>
        <v>El Banco, Magdalena</v>
      </c>
      <c r="E737" s="55">
        <v>47245</v>
      </c>
      <c r="F737" s="56">
        <v>0.1</v>
      </c>
      <c r="G737" s="56">
        <v>0.1</v>
      </c>
      <c r="H737" s="56" t="s">
        <v>11</v>
      </c>
      <c r="I737" s="56">
        <v>0.04</v>
      </c>
      <c r="J737" s="57">
        <v>0.02</v>
      </c>
    </row>
    <row r="738" spans="1:10" ht="17.25" thickBot="1" x14ac:dyDescent="0.35">
      <c r="A738" s="58" t="s">
        <v>738</v>
      </c>
      <c r="B738" s="59">
        <f t="shared" si="33"/>
        <v>0</v>
      </c>
      <c r="C738" s="59" t="str">
        <f t="shared" si="34"/>
        <v>Magdalena</v>
      </c>
      <c r="D738" s="59" t="str">
        <f t="shared" si="35"/>
        <v>El Piñon, Magdalena</v>
      </c>
      <c r="E738" s="55">
        <v>47258</v>
      </c>
      <c r="F738" s="56">
        <v>0.1</v>
      </c>
      <c r="G738" s="56">
        <v>0.1</v>
      </c>
      <c r="H738" s="56" t="s">
        <v>11</v>
      </c>
      <c r="I738" s="56">
        <v>0.04</v>
      </c>
      <c r="J738" s="57">
        <v>0.02</v>
      </c>
    </row>
    <row r="739" spans="1:10" ht="17.25" thickBot="1" x14ac:dyDescent="0.35">
      <c r="A739" s="58" t="s">
        <v>739</v>
      </c>
      <c r="B739" s="59">
        <f t="shared" si="33"/>
        <v>0</v>
      </c>
      <c r="C739" s="59" t="str">
        <f t="shared" si="34"/>
        <v>Magdalena</v>
      </c>
      <c r="D739" s="59" t="str">
        <f t="shared" si="35"/>
        <v>El Reten, Magdalena</v>
      </c>
      <c r="E739" s="55">
        <v>47268</v>
      </c>
      <c r="F739" s="56">
        <v>0.1</v>
      </c>
      <c r="G739" s="56">
        <v>0.1</v>
      </c>
      <c r="H739" s="56" t="s">
        <v>11</v>
      </c>
      <c r="I739" s="56">
        <v>0.04</v>
      </c>
      <c r="J739" s="57">
        <v>0.02</v>
      </c>
    </row>
    <row r="740" spans="1:10" ht="17.25" thickBot="1" x14ac:dyDescent="0.35">
      <c r="A740" s="58" t="s">
        <v>740</v>
      </c>
      <c r="B740" s="59">
        <f t="shared" si="33"/>
        <v>0</v>
      </c>
      <c r="C740" s="59" t="str">
        <f t="shared" si="34"/>
        <v>Magdalena</v>
      </c>
      <c r="D740" s="59" t="str">
        <f t="shared" si="35"/>
        <v>Fundación, Magdalena</v>
      </c>
      <c r="E740" s="55">
        <v>47288</v>
      </c>
      <c r="F740" s="56">
        <v>0.1</v>
      </c>
      <c r="G740" s="56">
        <v>0.1</v>
      </c>
      <c r="H740" s="56" t="s">
        <v>11</v>
      </c>
      <c r="I740" s="56">
        <v>0.05</v>
      </c>
      <c r="J740" s="57">
        <v>0.02</v>
      </c>
    </row>
    <row r="741" spans="1:10" ht="17.25" thickBot="1" x14ac:dyDescent="0.35">
      <c r="A741" s="58" t="s">
        <v>741</v>
      </c>
      <c r="B741" s="59">
        <f t="shared" si="33"/>
        <v>0</v>
      </c>
      <c r="C741" s="59" t="str">
        <f t="shared" si="34"/>
        <v>Magdalena</v>
      </c>
      <c r="D741" s="59" t="str">
        <f t="shared" si="35"/>
        <v>Guamal, Magdalena</v>
      </c>
      <c r="E741" s="55">
        <v>47318</v>
      </c>
      <c r="F741" s="56">
        <v>0.1</v>
      </c>
      <c r="G741" s="56">
        <v>0.1</v>
      </c>
      <c r="H741" s="56" t="s">
        <v>11</v>
      </c>
      <c r="I741" s="56">
        <v>0.04</v>
      </c>
      <c r="J741" s="57">
        <v>0.02</v>
      </c>
    </row>
    <row r="742" spans="1:10" ht="17.25" thickBot="1" x14ac:dyDescent="0.35">
      <c r="A742" s="58" t="s">
        <v>742</v>
      </c>
      <c r="B742" s="59">
        <f t="shared" si="33"/>
        <v>0</v>
      </c>
      <c r="C742" s="59" t="str">
        <f t="shared" si="34"/>
        <v>Magdalena</v>
      </c>
      <c r="D742" s="59" t="str">
        <f t="shared" si="35"/>
        <v>Nueva Granada, Magdalena</v>
      </c>
      <c r="E742" s="55">
        <v>47460</v>
      </c>
      <c r="F742" s="56">
        <v>0.1</v>
      </c>
      <c r="G742" s="56">
        <v>0.1</v>
      </c>
      <c r="H742" s="56" t="s">
        <v>11</v>
      </c>
      <c r="I742" s="56">
        <v>0.04</v>
      </c>
      <c r="J742" s="57">
        <v>0.02</v>
      </c>
    </row>
    <row r="743" spans="1:10" ht="17.25" thickBot="1" x14ac:dyDescent="0.35">
      <c r="A743" s="58" t="s">
        <v>743</v>
      </c>
      <c r="B743" s="59">
        <f t="shared" si="33"/>
        <v>0</v>
      </c>
      <c r="C743" s="59" t="str">
        <f t="shared" si="34"/>
        <v>Magdalena</v>
      </c>
      <c r="D743" s="59" t="str">
        <f t="shared" si="35"/>
        <v>Pedraza, Magdalena</v>
      </c>
      <c r="E743" s="55">
        <v>47541</v>
      </c>
      <c r="F743" s="56">
        <v>0.1</v>
      </c>
      <c r="G743" s="56">
        <v>0.1</v>
      </c>
      <c r="H743" s="56" t="s">
        <v>11</v>
      </c>
      <c r="I743" s="56">
        <v>0.04</v>
      </c>
      <c r="J743" s="57">
        <v>0.02</v>
      </c>
    </row>
    <row r="744" spans="1:10" ht="17.25" thickBot="1" x14ac:dyDescent="0.35">
      <c r="A744" s="58" t="s">
        <v>744</v>
      </c>
      <c r="B744" s="59">
        <f t="shared" si="33"/>
        <v>0</v>
      </c>
      <c r="C744" s="59" t="str">
        <f t="shared" si="34"/>
        <v>Magdalena</v>
      </c>
      <c r="D744" s="59" t="str">
        <f t="shared" si="35"/>
        <v>Pijino del Carmen, Magdalena</v>
      </c>
      <c r="E744" s="55">
        <v>47545</v>
      </c>
      <c r="F744" s="56">
        <v>0.1</v>
      </c>
      <c r="G744" s="56">
        <v>0.1</v>
      </c>
      <c r="H744" s="56" t="s">
        <v>11</v>
      </c>
      <c r="I744" s="56">
        <v>0.04</v>
      </c>
      <c r="J744" s="57">
        <v>0.02</v>
      </c>
    </row>
    <row r="745" spans="1:10" ht="17.25" thickBot="1" x14ac:dyDescent="0.35">
      <c r="A745" s="58" t="s">
        <v>745</v>
      </c>
      <c r="B745" s="59">
        <f t="shared" si="33"/>
        <v>0</v>
      </c>
      <c r="C745" s="59" t="str">
        <f t="shared" si="34"/>
        <v>Magdalena</v>
      </c>
      <c r="D745" s="59" t="str">
        <f t="shared" si="35"/>
        <v>Pivijay, Magdalena</v>
      </c>
      <c r="E745" s="55">
        <v>47551</v>
      </c>
      <c r="F745" s="56">
        <v>0.1</v>
      </c>
      <c r="G745" s="56">
        <v>0.1</v>
      </c>
      <c r="H745" s="56" t="s">
        <v>11</v>
      </c>
      <c r="I745" s="56">
        <v>0.04</v>
      </c>
      <c r="J745" s="57">
        <v>0.02</v>
      </c>
    </row>
    <row r="746" spans="1:10" ht="17.25" thickBot="1" x14ac:dyDescent="0.35">
      <c r="A746" s="58" t="s">
        <v>746</v>
      </c>
      <c r="B746" s="59">
        <f t="shared" si="33"/>
        <v>0</v>
      </c>
      <c r="C746" s="59" t="str">
        <f t="shared" si="34"/>
        <v>Magdalena</v>
      </c>
      <c r="D746" s="59" t="str">
        <f t="shared" si="35"/>
        <v>Plato, Magdalena</v>
      </c>
      <c r="E746" s="55">
        <v>47555</v>
      </c>
      <c r="F746" s="56">
        <v>0.1</v>
      </c>
      <c r="G746" s="56">
        <v>0.1</v>
      </c>
      <c r="H746" s="56" t="s">
        <v>11</v>
      </c>
      <c r="I746" s="56">
        <v>0.04</v>
      </c>
      <c r="J746" s="57">
        <v>0.02</v>
      </c>
    </row>
    <row r="747" spans="1:10" ht="17.25" thickBot="1" x14ac:dyDescent="0.35">
      <c r="A747" s="58" t="s">
        <v>747</v>
      </c>
      <c r="B747" s="59">
        <f t="shared" si="33"/>
        <v>0</v>
      </c>
      <c r="C747" s="59" t="str">
        <f t="shared" si="34"/>
        <v>Magdalena</v>
      </c>
      <c r="D747" s="59" t="str">
        <f t="shared" si="35"/>
        <v>Puebloviejo, Magdalena</v>
      </c>
      <c r="E747" s="55">
        <v>47570</v>
      </c>
      <c r="F747" s="56">
        <v>0.1</v>
      </c>
      <c r="G747" s="56">
        <v>0.1</v>
      </c>
      <c r="H747" s="56" t="s">
        <v>11</v>
      </c>
      <c r="I747" s="56">
        <v>0.04</v>
      </c>
      <c r="J747" s="57">
        <v>0.02</v>
      </c>
    </row>
    <row r="748" spans="1:10" ht="17.25" thickBot="1" x14ac:dyDescent="0.35">
      <c r="A748" s="58" t="s">
        <v>748</v>
      </c>
      <c r="B748" s="59">
        <f t="shared" si="33"/>
        <v>0</v>
      </c>
      <c r="C748" s="59" t="str">
        <f t="shared" si="34"/>
        <v>Magdalena</v>
      </c>
      <c r="D748" s="59" t="str">
        <f t="shared" si="35"/>
        <v>Remolino, Magdalena</v>
      </c>
      <c r="E748" s="55">
        <v>47605</v>
      </c>
      <c r="F748" s="56">
        <v>0.1</v>
      </c>
      <c r="G748" s="56">
        <v>0.1</v>
      </c>
      <c r="H748" s="56" t="s">
        <v>11</v>
      </c>
      <c r="I748" s="56">
        <v>0.04</v>
      </c>
      <c r="J748" s="57">
        <v>0.02</v>
      </c>
    </row>
    <row r="749" spans="1:10" ht="17.25" thickBot="1" x14ac:dyDescent="0.35">
      <c r="A749" s="58" t="s">
        <v>749</v>
      </c>
      <c r="B749" s="59">
        <f t="shared" si="33"/>
        <v>0</v>
      </c>
      <c r="C749" s="59" t="str">
        <f t="shared" si="34"/>
        <v>Magdalena</v>
      </c>
      <c r="D749" s="59" t="str">
        <f t="shared" si="35"/>
        <v>Sabanas De San Ángel, Magdalena</v>
      </c>
      <c r="E749" s="55">
        <v>47660</v>
      </c>
      <c r="F749" s="56">
        <v>0.1</v>
      </c>
      <c r="G749" s="56">
        <v>0.1</v>
      </c>
      <c r="H749" s="56" t="s">
        <v>11</v>
      </c>
      <c r="I749" s="56">
        <v>0.04</v>
      </c>
      <c r="J749" s="57">
        <v>0.02</v>
      </c>
    </row>
    <row r="750" spans="1:10" ht="17.25" thickBot="1" x14ac:dyDescent="0.35">
      <c r="A750" s="58" t="s">
        <v>396</v>
      </c>
      <c r="B750" s="59">
        <f t="shared" si="33"/>
        <v>0</v>
      </c>
      <c r="C750" s="59" t="str">
        <f t="shared" si="34"/>
        <v>Magdalena</v>
      </c>
      <c r="D750" s="59" t="str">
        <f t="shared" si="35"/>
        <v>Salamina, Magdalena</v>
      </c>
      <c r="E750" s="55">
        <v>47675</v>
      </c>
      <c r="F750" s="56">
        <v>0.1</v>
      </c>
      <c r="G750" s="56">
        <v>0.1</v>
      </c>
      <c r="H750" s="56" t="s">
        <v>11</v>
      </c>
      <c r="I750" s="56">
        <v>0.04</v>
      </c>
      <c r="J750" s="57">
        <v>0.02</v>
      </c>
    </row>
    <row r="751" spans="1:10" ht="17.25" thickBot="1" x14ac:dyDescent="0.35">
      <c r="A751" s="58" t="s">
        <v>750</v>
      </c>
      <c r="B751" s="59">
        <f t="shared" si="33"/>
        <v>0</v>
      </c>
      <c r="C751" s="59" t="str">
        <f t="shared" si="34"/>
        <v>Magdalena</v>
      </c>
      <c r="D751" s="59" t="str">
        <f t="shared" si="35"/>
        <v>San Sebastián De Buenavista, Magdalena</v>
      </c>
      <c r="E751" s="55">
        <v>47692</v>
      </c>
      <c r="F751" s="56">
        <v>0.1</v>
      </c>
      <c r="G751" s="56">
        <v>0.1</v>
      </c>
      <c r="H751" s="56" t="s">
        <v>11</v>
      </c>
      <c r="I751" s="56">
        <v>0.04</v>
      </c>
      <c r="J751" s="57">
        <v>0.02</v>
      </c>
    </row>
    <row r="752" spans="1:10" ht="17.25" thickBot="1" x14ac:dyDescent="0.35">
      <c r="A752" s="58" t="s">
        <v>751</v>
      </c>
      <c r="B752" s="59">
        <f t="shared" si="33"/>
        <v>0</v>
      </c>
      <c r="C752" s="59" t="str">
        <f t="shared" si="34"/>
        <v>Magdalena</v>
      </c>
      <c r="D752" s="59" t="str">
        <f t="shared" si="35"/>
        <v>San Zenón, Magdalena</v>
      </c>
      <c r="E752" s="55">
        <v>47703</v>
      </c>
      <c r="F752" s="56">
        <v>0.1</v>
      </c>
      <c r="G752" s="56">
        <v>0.1</v>
      </c>
      <c r="H752" s="56" t="s">
        <v>11</v>
      </c>
      <c r="I752" s="56">
        <v>0.04</v>
      </c>
      <c r="J752" s="57">
        <v>0.02</v>
      </c>
    </row>
    <row r="753" spans="1:10" ht="17.25" thickBot="1" x14ac:dyDescent="0.35">
      <c r="A753" s="58" t="s">
        <v>752</v>
      </c>
      <c r="B753" s="59">
        <f t="shared" si="33"/>
        <v>0</v>
      </c>
      <c r="C753" s="59" t="str">
        <f t="shared" si="34"/>
        <v>Magdalena</v>
      </c>
      <c r="D753" s="59" t="str">
        <f t="shared" si="35"/>
        <v>Santa Ana, Magdalena</v>
      </c>
      <c r="E753" s="55">
        <v>47707</v>
      </c>
      <c r="F753" s="56">
        <v>0.1</v>
      </c>
      <c r="G753" s="56">
        <v>0.1</v>
      </c>
      <c r="H753" s="56" t="s">
        <v>11</v>
      </c>
      <c r="I753" s="56">
        <v>0.04</v>
      </c>
      <c r="J753" s="57">
        <v>0.02</v>
      </c>
    </row>
    <row r="754" spans="1:10" ht="17.25" thickBot="1" x14ac:dyDescent="0.35">
      <c r="A754" s="58" t="s">
        <v>753</v>
      </c>
      <c r="B754" s="59">
        <f t="shared" si="33"/>
        <v>0</v>
      </c>
      <c r="C754" s="59" t="str">
        <f t="shared" si="34"/>
        <v>Magdalena</v>
      </c>
      <c r="D754" s="59" t="str">
        <f t="shared" si="35"/>
        <v>Santa Bárbara De Pinto, Magdalena</v>
      </c>
      <c r="E754" s="55">
        <v>47720</v>
      </c>
      <c r="F754" s="56">
        <v>0.1</v>
      </c>
      <c r="G754" s="56">
        <v>0.1</v>
      </c>
      <c r="H754" s="56" t="s">
        <v>11</v>
      </c>
      <c r="I754" s="56">
        <v>0.04</v>
      </c>
      <c r="J754" s="57">
        <v>0.02</v>
      </c>
    </row>
    <row r="755" spans="1:10" ht="17.25" thickBot="1" x14ac:dyDescent="0.35">
      <c r="A755" s="58" t="s">
        <v>754</v>
      </c>
      <c r="B755" s="59">
        <f t="shared" si="33"/>
        <v>0</v>
      </c>
      <c r="C755" s="59" t="str">
        <f t="shared" si="34"/>
        <v>Magdalena</v>
      </c>
      <c r="D755" s="59" t="str">
        <f t="shared" si="35"/>
        <v>SitioNuevo, Magdalena</v>
      </c>
      <c r="E755" s="55">
        <v>47745</v>
      </c>
      <c r="F755" s="56">
        <v>0.1</v>
      </c>
      <c r="G755" s="56">
        <v>0.1</v>
      </c>
      <c r="H755" s="56" t="s">
        <v>11</v>
      </c>
      <c r="I755" s="56">
        <v>0.05</v>
      </c>
      <c r="J755" s="57">
        <v>0.02</v>
      </c>
    </row>
    <row r="756" spans="1:10" ht="17.25" thickBot="1" x14ac:dyDescent="0.35">
      <c r="A756" s="58" t="s">
        <v>755</v>
      </c>
      <c r="B756" s="59">
        <f t="shared" si="33"/>
        <v>0</v>
      </c>
      <c r="C756" s="59" t="str">
        <f t="shared" si="34"/>
        <v>Magdalena</v>
      </c>
      <c r="D756" s="59" t="str">
        <f t="shared" si="35"/>
        <v>Tenerife, Magdalena</v>
      </c>
      <c r="E756" s="55">
        <v>47798</v>
      </c>
      <c r="F756" s="56">
        <v>0.1</v>
      </c>
      <c r="G756" s="56">
        <v>0.1</v>
      </c>
      <c r="H756" s="56" t="s">
        <v>11</v>
      </c>
      <c r="I756" s="56">
        <v>0.04</v>
      </c>
      <c r="J756" s="57">
        <v>0.02</v>
      </c>
    </row>
    <row r="757" spans="1:10" ht="17.25" thickBot="1" x14ac:dyDescent="0.35">
      <c r="A757" s="58" t="s">
        <v>756</v>
      </c>
      <c r="B757" s="59">
        <f t="shared" si="33"/>
        <v>0</v>
      </c>
      <c r="C757" s="59" t="str">
        <f t="shared" si="34"/>
        <v>Magdalena</v>
      </c>
      <c r="D757" s="59" t="str">
        <f t="shared" si="35"/>
        <v>Zapayán, Magdalena</v>
      </c>
      <c r="E757" s="55">
        <v>47960</v>
      </c>
      <c r="F757" s="56">
        <v>0.1</v>
      </c>
      <c r="G757" s="56">
        <v>0.1</v>
      </c>
      <c r="H757" s="56" t="s">
        <v>11</v>
      </c>
      <c r="I757" s="56">
        <v>0.04</v>
      </c>
      <c r="J757" s="57">
        <v>0.02</v>
      </c>
    </row>
    <row r="758" spans="1:10" ht="17.25" thickBot="1" x14ac:dyDescent="0.35">
      <c r="A758" s="58" t="s">
        <v>757</v>
      </c>
      <c r="B758" s="59">
        <f t="shared" si="33"/>
        <v>0</v>
      </c>
      <c r="C758" s="59" t="str">
        <f t="shared" si="34"/>
        <v>Magdalena</v>
      </c>
      <c r="D758" s="59" t="str">
        <f t="shared" si="35"/>
        <v>Zona Bananera, Magdalena</v>
      </c>
      <c r="E758" s="55">
        <v>47980</v>
      </c>
      <c r="F758" s="56">
        <v>0.1</v>
      </c>
      <c r="G758" s="56">
        <v>0.1</v>
      </c>
      <c r="H758" s="56" t="s">
        <v>11</v>
      </c>
      <c r="I758" s="56">
        <v>0.08</v>
      </c>
      <c r="J758" s="57">
        <v>0.02</v>
      </c>
    </row>
    <row r="759" spans="1:10" ht="17.25" thickBot="1" x14ac:dyDescent="0.35">
      <c r="A759" s="43" t="s">
        <v>758</v>
      </c>
      <c r="B759" s="44">
        <f t="shared" si="33"/>
        <v>1</v>
      </c>
      <c r="C759" s="44" t="str">
        <f t="shared" si="34"/>
        <v>Meta</v>
      </c>
      <c r="D759" s="44" t="str">
        <f t="shared" si="35"/>
        <v/>
      </c>
      <c r="E759" s="45"/>
      <c r="F759" s="46"/>
      <c r="G759" s="46"/>
      <c r="H759" s="46"/>
      <c r="I759" s="46"/>
      <c r="J759" s="47"/>
    </row>
    <row r="760" spans="1:10" ht="17.25" thickBot="1" x14ac:dyDescent="0.35">
      <c r="A760" s="53" t="s">
        <v>759</v>
      </c>
      <c r="B760" s="54">
        <f t="shared" si="33"/>
        <v>0</v>
      </c>
      <c r="C760" s="54" t="str">
        <f t="shared" si="34"/>
        <v>Meta</v>
      </c>
      <c r="D760" s="54" t="str">
        <f t="shared" si="35"/>
        <v>Villavicencio, Meta</v>
      </c>
      <c r="E760" s="55">
        <v>50001</v>
      </c>
      <c r="F760" s="56">
        <v>0.35</v>
      </c>
      <c r="G760" s="56">
        <v>0.3</v>
      </c>
      <c r="H760" s="56" t="s">
        <v>39</v>
      </c>
      <c r="I760" s="56">
        <v>0.2</v>
      </c>
      <c r="J760" s="57">
        <v>7.0000000000000007E-2</v>
      </c>
    </row>
    <row r="761" spans="1:10" ht="17.25" thickBot="1" x14ac:dyDescent="0.35">
      <c r="A761" s="58" t="s">
        <v>760</v>
      </c>
      <c r="B761" s="59">
        <f t="shared" si="33"/>
        <v>0</v>
      </c>
      <c r="C761" s="59" t="str">
        <f t="shared" si="34"/>
        <v>Meta</v>
      </c>
      <c r="D761" s="59" t="str">
        <f t="shared" si="35"/>
        <v>Acacias, Meta</v>
      </c>
      <c r="E761" s="55">
        <v>50006</v>
      </c>
      <c r="F761" s="56">
        <v>0.3</v>
      </c>
      <c r="G761" s="56">
        <v>0.3</v>
      </c>
      <c r="H761" s="56" t="s">
        <v>39</v>
      </c>
      <c r="I761" s="56">
        <v>0.17</v>
      </c>
      <c r="J761" s="57">
        <v>0.06</v>
      </c>
    </row>
    <row r="762" spans="1:10" ht="17.25" thickBot="1" x14ac:dyDescent="0.35">
      <c r="A762" s="58" t="s">
        <v>761</v>
      </c>
      <c r="B762" s="59">
        <f t="shared" si="33"/>
        <v>0</v>
      </c>
      <c r="C762" s="59" t="str">
        <f t="shared" si="34"/>
        <v>Meta</v>
      </c>
      <c r="D762" s="59" t="str">
        <f t="shared" si="35"/>
        <v>Barranca De Upía, Meta</v>
      </c>
      <c r="E762" s="55">
        <v>50110</v>
      </c>
      <c r="F762" s="56">
        <v>0.25</v>
      </c>
      <c r="G762" s="56">
        <v>0.25</v>
      </c>
      <c r="H762" s="56" t="s">
        <v>39</v>
      </c>
      <c r="I762" s="56">
        <v>0.08</v>
      </c>
      <c r="J762" s="57">
        <v>0.04</v>
      </c>
    </row>
    <row r="763" spans="1:10" ht="17.25" thickBot="1" x14ac:dyDescent="0.35">
      <c r="A763" s="58" t="s">
        <v>762</v>
      </c>
      <c r="B763" s="59">
        <f t="shared" si="33"/>
        <v>0</v>
      </c>
      <c r="C763" s="59" t="str">
        <f t="shared" si="34"/>
        <v>Meta</v>
      </c>
      <c r="D763" s="59" t="str">
        <f t="shared" si="35"/>
        <v>Cabuyaro, Meta</v>
      </c>
      <c r="E763" s="55">
        <v>50124</v>
      </c>
      <c r="F763" s="56">
        <v>0.2</v>
      </c>
      <c r="G763" s="56">
        <v>0.2</v>
      </c>
      <c r="H763" s="56" t="s">
        <v>36</v>
      </c>
      <c r="I763" s="56">
        <v>0.06</v>
      </c>
      <c r="J763" s="57">
        <v>0.03</v>
      </c>
    </row>
    <row r="764" spans="1:10" ht="17.25" thickBot="1" x14ac:dyDescent="0.35">
      <c r="A764" s="58" t="s">
        <v>763</v>
      </c>
      <c r="B764" s="59">
        <f t="shared" si="33"/>
        <v>0</v>
      </c>
      <c r="C764" s="59" t="str">
        <f t="shared" si="34"/>
        <v>Meta</v>
      </c>
      <c r="D764" s="59" t="str">
        <f t="shared" si="35"/>
        <v>Castilla La Nueva, Meta</v>
      </c>
      <c r="E764" s="55">
        <v>50150</v>
      </c>
      <c r="F764" s="56">
        <v>0.2</v>
      </c>
      <c r="G764" s="56">
        <v>0.25</v>
      </c>
      <c r="H764" s="56" t="s">
        <v>39</v>
      </c>
      <c r="I764" s="56">
        <v>7.0000000000000007E-2</v>
      </c>
      <c r="J764" s="57">
        <v>0.03</v>
      </c>
    </row>
    <row r="765" spans="1:10" ht="17.25" thickBot="1" x14ac:dyDescent="0.35">
      <c r="A765" s="58" t="s">
        <v>764</v>
      </c>
      <c r="B765" s="59">
        <f t="shared" si="33"/>
        <v>0</v>
      </c>
      <c r="C765" s="59" t="str">
        <f t="shared" si="34"/>
        <v>Meta</v>
      </c>
      <c r="D765" s="59" t="str">
        <f t="shared" si="35"/>
        <v>Cumaral, Meta</v>
      </c>
      <c r="E765" s="55">
        <v>50226</v>
      </c>
      <c r="F765" s="56">
        <v>0.25</v>
      </c>
      <c r="G765" s="56">
        <v>0.25</v>
      </c>
      <c r="H765" s="56" t="s">
        <v>39</v>
      </c>
      <c r="I765" s="56">
        <v>0.09</v>
      </c>
      <c r="J765" s="57">
        <v>0.04</v>
      </c>
    </row>
    <row r="766" spans="1:10" ht="17.25" thickBot="1" x14ac:dyDescent="0.35">
      <c r="A766" s="58" t="s">
        <v>765</v>
      </c>
      <c r="B766" s="59">
        <f t="shared" si="33"/>
        <v>0</v>
      </c>
      <c r="C766" s="59" t="str">
        <f t="shared" si="34"/>
        <v>Meta</v>
      </c>
      <c r="D766" s="59" t="str">
        <f t="shared" si="35"/>
        <v>El Calvario, Meta</v>
      </c>
      <c r="E766" s="55">
        <v>50245</v>
      </c>
      <c r="F766" s="56">
        <v>0.3</v>
      </c>
      <c r="G766" s="56">
        <v>0.25</v>
      </c>
      <c r="H766" s="56" t="s">
        <v>39</v>
      </c>
      <c r="I766" s="56">
        <v>0.26</v>
      </c>
      <c r="J766" s="57">
        <v>0.08</v>
      </c>
    </row>
    <row r="767" spans="1:10" ht="17.25" thickBot="1" x14ac:dyDescent="0.35">
      <c r="A767" s="58" t="s">
        <v>766</v>
      </c>
      <c r="B767" s="59">
        <f t="shared" si="33"/>
        <v>0</v>
      </c>
      <c r="C767" s="59" t="str">
        <f t="shared" si="34"/>
        <v>Meta</v>
      </c>
      <c r="D767" s="59" t="str">
        <f t="shared" si="35"/>
        <v>El Castillo, Meta</v>
      </c>
      <c r="E767" s="55">
        <v>50251</v>
      </c>
      <c r="F767" s="56">
        <v>0.25</v>
      </c>
      <c r="G767" s="56">
        <v>0.25</v>
      </c>
      <c r="H767" s="56" t="s">
        <v>39</v>
      </c>
      <c r="I767" s="56">
        <v>0.11</v>
      </c>
      <c r="J767" s="57">
        <v>0.04</v>
      </c>
    </row>
    <row r="768" spans="1:10" ht="17.25" thickBot="1" x14ac:dyDescent="0.35">
      <c r="A768" s="58" t="s">
        <v>767</v>
      </c>
      <c r="B768" s="59">
        <f t="shared" si="33"/>
        <v>0</v>
      </c>
      <c r="C768" s="59" t="str">
        <f t="shared" si="34"/>
        <v>Meta</v>
      </c>
      <c r="D768" s="59" t="str">
        <f t="shared" si="35"/>
        <v>El Dorado, Meta</v>
      </c>
      <c r="E768" s="55">
        <v>50270</v>
      </c>
      <c r="F768" s="56">
        <v>0.25</v>
      </c>
      <c r="G768" s="56">
        <v>0.25</v>
      </c>
      <c r="H768" s="56" t="s">
        <v>39</v>
      </c>
      <c r="I768" s="56">
        <v>0.11</v>
      </c>
      <c r="J768" s="57">
        <v>0.05</v>
      </c>
    </row>
    <row r="769" spans="1:10" ht="17.25" thickBot="1" x14ac:dyDescent="0.35">
      <c r="A769" s="58" t="s">
        <v>768</v>
      </c>
      <c r="B769" s="59">
        <f t="shared" si="33"/>
        <v>0</v>
      </c>
      <c r="C769" s="59" t="str">
        <f t="shared" si="34"/>
        <v>Meta</v>
      </c>
      <c r="D769" s="59" t="str">
        <f t="shared" si="35"/>
        <v>Fuente De Oro, Meta</v>
      </c>
      <c r="E769" s="55">
        <v>50287</v>
      </c>
      <c r="F769" s="56">
        <v>0.15</v>
      </c>
      <c r="G769" s="56">
        <v>0.2</v>
      </c>
      <c r="H769" s="56" t="s">
        <v>36</v>
      </c>
      <c r="I769" s="56">
        <v>0.05</v>
      </c>
      <c r="J769" s="57">
        <v>0.02</v>
      </c>
    </row>
    <row r="770" spans="1:10" ht="17.25" thickBot="1" x14ac:dyDescent="0.35">
      <c r="A770" s="58" t="s">
        <v>107</v>
      </c>
      <c r="B770" s="59">
        <f t="shared" si="33"/>
        <v>0</v>
      </c>
      <c r="C770" s="59" t="str">
        <f t="shared" si="34"/>
        <v>Meta</v>
      </c>
      <c r="D770" s="59" t="str">
        <f t="shared" si="35"/>
        <v>Granada, Meta</v>
      </c>
      <c r="E770" s="55">
        <v>50313</v>
      </c>
      <c r="F770" s="56">
        <v>0.2</v>
      </c>
      <c r="G770" s="56">
        <v>0.25</v>
      </c>
      <c r="H770" s="56" t="s">
        <v>39</v>
      </c>
      <c r="I770" s="56">
        <v>7.0000000000000007E-2</v>
      </c>
      <c r="J770" s="57">
        <v>0.03</v>
      </c>
    </row>
    <row r="771" spans="1:10" ht="17.25" thickBot="1" x14ac:dyDescent="0.35">
      <c r="A771" s="58" t="s">
        <v>741</v>
      </c>
      <c r="B771" s="59">
        <f t="shared" ref="B771:B834" si="36">IFERROR(FIND("Departamento",A771),0)</f>
        <v>0</v>
      </c>
      <c r="C771" s="59" t="str">
        <f t="shared" ref="C771:C834" si="37">IF(B771=1,IF(ISERROR(FIND("del",A771)),MID(A771,17,30),MID(A771,18,30)),C770)</f>
        <v>Meta</v>
      </c>
      <c r="D771" s="59" t="str">
        <f t="shared" ref="D771:D834" si="38">IF(B771=1,"",CONCATENATE(A771,", ",C771))</f>
        <v>Guamal, Meta</v>
      </c>
      <c r="E771" s="55">
        <v>50318</v>
      </c>
      <c r="F771" s="56">
        <v>0.35</v>
      </c>
      <c r="G771" s="56">
        <v>0.25</v>
      </c>
      <c r="H771" s="56" t="s">
        <v>39</v>
      </c>
      <c r="I771" s="56">
        <v>0.28000000000000003</v>
      </c>
      <c r="J771" s="57">
        <v>0.08</v>
      </c>
    </row>
    <row r="772" spans="1:10" ht="17.25" thickBot="1" x14ac:dyDescent="0.35">
      <c r="A772" s="58" t="s">
        <v>769</v>
      </c>
      <c r="B772" s="59">
        <f t="shared" si="36"/>
        <v>0</v>
      </c>
      <c r="C772" s="59" t="str">
        <f t="shared" si="37"/>
        <v>Meta</v>
      </c>
      <c r="D772" s="59" t="str">
        <f t="shared" si="38"/>
        <v>La Macarena, Meta</v>
      </c>
      <c r="E772" s="55">
        <v>50350</v>
      </c>
      <c r="F772" s="56">
        <v>0.05</v>
      </c>
      <c r="G772" s="56">
        <v>0.1</v>
      </c>
      <c r="H772" s="56" t="s">
        <v>11</v>
      </c>
      <c r="I772" s="56">
        <v>0.03</v>
      </c>
      <c r="J772" s="57">
        <v>0.02</v>
      </c>
    </row>
    <row r="773" spans="1:10" ht="17.25" thickBot="1" x14ac:dyDescent="0.35">
      <c r="A773" s="58" t="s">
        <v>770</v>
      </c>
      <c r="B773" s="59">
        <f t="shared" si="36"/>
        <v>0</v>
      </c>
      <c r="C773" s="59" t="str">
        <f t="shared" si="37"/>
        <v>Meta</v>
      </c>
      <c r="D773" s="59" t="str">
        <f t="shared" si="38"/>
        <v>La Uribe, Meta</v>
      </c>
      <c r="E773" s="55">
        <v>50370</v>
      </c>
      <c r="F773" s="56">
        <v>0.25</v>
      </c>
      <c r="G773" s="56">
        <v>0.25</v>
      </c>
      <c r="H773" s="56" t="s">
        <v>39</v>
      </c>
      <c r="I773" s="56">
        <v>0.1</v>
      </c>
      <c r="J773" s="57">
        <v>0.04</v>
      </c>
    </row>
    <row r="774" spans="1:10" ht="17.25" thickBot="1" x14ac:dyDescent="0.35">
      <c r="A774" s="58" t="s">
        <v>771</v>
      </c>
      <c r="B774" s="59">
        <f t="shared" si="36"/>
        <v>0</v>
      </c>
      <c r="C774" s="59" t="str">
        <f t="shared" si="37"/>
        <v>Meta</v>
      </c>
      <c r="D774" s="59" t="str">
        <f t="shared" si="38"/>
        <v>Lejanías, Meta</v>
      </c>
      <c r="E774" s="55">
        <v>50400</v>
      </c>
      <c r="F774" s="56">
        <v>0.3</v>
      </c>
      <c r="G774" s="56">
        <v>0.25</v>
      </c>
      <c r="H774" s="56" t="s">
        <v>39</v>
      </c>
      <c r="I774" s="56">
        <v>0.19</v>
      </c>
      <c r="J774" s="57">
        <v>0.08</v>
      </c>
    </row>
    <row r="775" spans="1:10" ht="17.25" thickBot="1" x14ac:dyDescent="0.35">
      <c r="A775" s="58" t="s">
        <v>772</v>
      </c>
      <c r="B775" s="59">
        <f t="shared" si="36"/>
        <v>0</v>
      </c>
      <c r="C775" s="59" t="str">
        <f t="shared" si="37"/>
        <v>Meta</v>
      </c>
      <c r="D775" s="59" t="str">
        <f t="shared" si="38"/>
        <v>Mapiripán, Meta</v>
      </c>
      <c r="E775" s="55">
        <v>50325</v>
      </c>
      <c r="F775" s="56">
        <v>0.05</v>
      </c>
      <c r="G775" s="56">
        <v>0.05</v>
      </c>
      <c r="H775" s="56" t="s">
        <v>11</v>
      </c>
      <c r="I775" s="56">
        <v>0.02</v>
      </c>
      <c r="J775" s="57">
        <v>0.02</v>
      </c>
    </row>
    <row r="776" spans="1:10" ht="17.25" thickBot="1" x14ac:dyDescent="0.35">
      <c r="A776" s="58" t="s">
        <v>773</v>
      </c>
      <c r="B776" s="59">
        <f t="shared" si="36"/>
        <v>0</v>
      </c>
      <c r="C776" s="59" t="str">
        <f t="shared" si="37"/>
        <v>Meta</v>
      </c>
      <c r="D776" s="59" t="str">
        <f t="shared" si="38"/>
        <v>Mesetas, Meta</v>
      </c>
      <c r="E776" s="55">
        <v>50330</v>
      </c>
      <c r="F776" s="56">
        <v>0.2</v>
      </c>
      <c r="G776" s="56">
        <v>0.25</v>
      </c>
      <c r="H776" s="56" t="s">
        <v>39</v>
      </c>
      <c r="I776" s="56">
        <v>7.0000000000000007E-2</v>
      </c>
      <c r="J776" s="57">
        <v>0.03</v>
      </c>
    </row>
    <row r="777" spans="1:10" ht="17.25" thickBot="1" x14ac:dyDescent="0.35">
      <c r="A777" s="58" t="s">
        <v>774</v>
      </c>
      <c r="B777" s="59">
        <f t="shared" si="36"/>
        <v>0</v>
      </c>
      <c r="C777" s="59" t="str">
        <f t="shared" si="37"/>
        <v>Meta</v>
      </c>
      <c r="D777" s="59" t="str">
        <f t="shared" si="38"/>
        <v>Puerto Concordia, Meta</v>
      </c>
      <c r="E777" s="55">
        <v>50450</v>
      </c>
      <c r="F777" s="56">
        <v>0.05</v>
      </c>
      <c r="G777" s="56">
        <v>0.05</v>
      </c>
      <c r="H777" s="56" t="s">
        <v>11</v>
      </c>
      <c r="I777" s="56">
        <v>0.04</v>
      </c>
      <c r="J777" s="57">
        <v>0.02</v>
      </c>
    </row>
    <row r="778" spans="1:10" ht="17.25" thickBot="1" x14ac:dyDescent="0.35">
      <c r="A778" s="58" t="s">
        <v>775</v>
      </c>
      <c r="B778" s="59">
        <f t="shared" si="36"/>
        <v>0</v>
      </c>
      <c r="C778" s="59" t="str">
        <f t="shared" si="37"/>
        <v>Meta</v>
      </c>
      <c r="D778" s="59" t="str">
        <f t="shared" si="38"/>
        <v>Puerto Gaitán, Meta</v>
      </c>
      <c r="E778" s="55">
        <v>50568</v>
      </c>
      <c r="F778" s="56">
        <v>0.05</v>
      </c>
      <c r="G778" s="56">
        <v>0.1</v>
      </c>
      <c r="H778" s="56" t="s">
        <v>11</v>
      </c>
      <c r="I778" s="56">
        <v>0.04</v>
      </c>
      <c r="J778" s="57">
        <v>0.02</v>
      </c>
    </row>
    <row r="779" spans="1:10" ht="17.25" thickBot="1" x14ac:dyDescent="0.35">
      <c r="A779" s="58" t="s">
        <v>776</v>
      </c>
      <c r="B779" s="59">
        <f t="shared" si="36"/>
        <v>0</v>
      </c>
      <c r="C779" s="59" t="str">
        <f t="shared" si="37"/>
        <v>Meta</v>
      </c>
      <c r="D779" s="59" t="str">
        <f t="shared" si="38"/>
        <v>Puerto Lleras, Meta</v>
      </c>
      <c r="E779" s="55">
        <v>50577</v>
      </c>
      <c r="F779" s="56">
        <v>0.05</v>
      </c>
      <c r="G779" s="56">
        <v>0.15</v>
      </c>
      <c r="H779" s="56" t="s">
        <v>36</v>
      </c>
      <c r="I779" s="56">
        <v>0.04</v>
      </c>
      <c r="J779" s="57">
        <v>0.02</v>
      </c>
    </row>
    <row r="780" spans="1:10" ht="17.25" thickBot="1" x14ac:dyDescent="0.35">
      <c r="A780" s="58" t="s">
        <v>777</v>
      </c>
      <c r="B780" s="59">
        <f t="shared" si="36"/>
        <v>0</v>
      </c>
      <c r="C780" s="59" t="str">
        <f t="shared" si="37"/>
        <v>Meta</v>
      </c>
      <c r="D780" s="59" t="str">
        <f t="shared" si="38"/>
        <v>Puerto López, Meta</v>
      </c>
      <c r="E780" s="55">
        <v>50573</v>
      </c>
      <c r="F780" s="56">
        <v>0.05</v>
      </c>
      <c r="G780" s="56">
        <v>0.15</v>
      </c>
      <c r="H780" s="56" t="s">
        <v>36</v>
      </c>
      <c r="I780" s="56">
        <v>0.04</v>
      </c>
      <c r="J780" s="57">
        <v>0.02</v>
      </c>
    </row>
    <row r="781" spans="1:10" ht="17.25" thickBot="1" x14ac:dyDescent="0.35">
      <c r="A781" s="58" t="s">
        <v>414</v>
      </c>
      <c r="B781" s="59">
        <f t="shared" si="36"/>
        <v>0</v>
      </c>
      <c r="C781" s="59" t="str">
        <f t="shared" si="37"/>
        <v>Meta</v>
      </c>
      <c r="D781" s="59" t="str">
        <f t="shared" si="38"/>
        <v>Puerto Rico, Meta</v>
      </c>
      <c r="E781" s="55">
        <v>50590</v>
      </c>
      <c r="F781" s="56">
        <v>0.05</v>
      </c>
      <c r="G781" s="56">
        <v>0.1</v>
      </c>
      <c r="H781" s="56" t="s">
        <v>11</v>
      </c>
      <c r="I781" s="56">
        <v>0.04</v>
      </c>
      <c r="J781" s="57">
        <v>0.02</v>
      </c>
    </row>
    <row r="782" spans="1:10" ht="17.25" thickBot="1" x14ac:dyDescent="0.35">
      <c r="A782" s="58" t="s">
        <v>778</v>
      </c>
      <c r="B782" s="59">
        <f t="shared" si="36"/>
        <v>0</v>
      </c>
      <c r="C782" s="59" t="str">
        <f t="shared" si="37"/>
        <v>Meta</v>
      </c>
      <c r="D782" s="59" t="str">
        <f t="shared" si="38"/>
        <v>Restrepo, Meta</v>
      </c>
      <c r="E782" s="55">
        <v>50606</v>
      </c>
      <c r="F782" s="56">
        <v>0.3</v>
      </c>
      <c r="G782" s="56">
        <v>0.3</v>
      </c>
      <c r="H782" s="56" t="s">
        <v>39</v>
      </c>
      <c r="I782" s="56">
        <v>0.13</v>
      </c>
      <c r="J782" s="57">
        <v>0.05</v>
      </c>
    </row>
    <row r="783" spans="1:10" ht="17.25" thickBot="1" x14ac:dyDescent="0.35">
      <c r="A783" s="58" t="s">
        <v>779</v>
      </c>
      <c r="B783" s="59">
        <f t="shared" si="36"/>
        <v>0</v>
      </c>
      <c r="C783" s="59" t="str">
        <f t="shared" si="37"/>
        <v>Meta</v>
      </c>
      <c r="D783" s="59" t="str">
        <f t="shared" si="38"/>
        <v>San Carlos Guaroa, Meta</v>
      </c>
      <c r="E783" s="55">
        <v>50680</v>
      </c>
      <c r="F783" s="56">
        <v>0.15</v>
      </c>
      <c r="G783" s="56">
        <v>0.2</v>
      </c>
      <c r="H783" s="56" t="s">
        <v>36</v>
      </c>
      <c r="I783" s="56">
        <v>0.05</v>
      </c>
      <c r="J783" s="57">
        <v>0.03</v>
      </c>
    </row>
    <row r="784" spans="1:10" ht="17.25" thickBot="1" x14ac:dyDescent="0.35">
      <c r="A784" s="58" t="s">
        <v>780</v>
      </c>
      <c r="B784" s="59">
        <f t="shared" si="36"/>
        <v>0</v>
      </c>
      <c r="C784" s="59" t="str">
        <f t="shared" si="37"/>
        <v>Meta</v>
      </c>
      <c r="D784" s="59" t="str">
        <f t="shared" si="38"/>
        <v>San Juan De Arama, Meta</v>
      </c>
      <c r="E784" s="55">
        <v>50683</v>
      </c>
      <c r="F784" s="56">
        <v>0.15</v>
      </c>
      <c r="G784" s="56">
        <v>0.2</v>
      </c>
      <c r="H784" s="56" t="s">
        <v>36</v>
      </c>
      <c r="I784" s="56">
        <v>0.06</v>
      </c>
      <c r="J784" s="57">
        <v>0.03</v>
      </c>
    </row>
    <row r="785" spans="1:10" ht="17.25" thickBot="1" x14ac:dyDescent="0.35">
      <c r="A785" s="58" t="s">
        <v>781</v>
      </c>
      <c r="B785" s="59">
        <f t="shared" si="36"/>
        <v>0</v>
      </c>
      <c r="C785" s="59" t="str">
        <f t="shared" si="37"/>
        <v>Meta</v>
      </c>
      <c r="D785" s="59" t="str">
        <f t="shared" si="38"/>
        <v>San Juanito, Meta</v>
      </c>
      <c r="E785" s="55">
        <v>50686</v>
      </c>
      <c r="F785" s="56">
        <v>0.3</v>
      </c>
      <c r="G785" s="56">
        <v>0.25</v>
      </c>
      <c r="H785" s="56" t="s">
        <v>39</v>
      </c>
      <c r="I785" s="56">
        <v>0.2</v>
      </c>
      <c r="J785" s="57">
        <v>0.08</v>
      </c>
    </row>
    <row r="786" spans="1:10" ht="17.25" thickBot="1" x14ac:dyDescent="0.35">
      <c r="A786" s="58" t="s">
        <v>782</v>
      </c>
      <c r="B786" s="59">
        <f t="shared" si="36"/>
        <v>0</v>
      </c>
      <c r="C786" s="59" t="str">
        <f t="shared" si="37"/>
        <v>Meta</v>
      </c>
      <c r="D786" s="59" t="str">
        <f t="shared" si="38"/>
        <v>San Luis De Cubarral, Meta</v>
      </c>
      <c r="E786" s="55">
        <v>50223</v>
      </c>
      <c r="F786" s="56">
        <v>0.35</v>
      </c>
      <c r="G786" s="56">
        <v>0.25</v>
      </c>
      <c r="H786" s="56" t="s">
        <v>39</v>
      </c>
      <c r="I786" s="56">
        <v>0.2</v>
      </c>
      <c r="J786" s="57">
        <v>0.08</v>
      </c>
    </row>
    <row r="787" spans="1:10" ht="17.25" thickBot="1" x14ac:dyDescent="0.35">
      <c r="A787" s="58" t="s">
        <v>496</v>
      </c>
      <c r="B787" s="59">
        <f t="shared" si="36"/>
        <v>0</v>
      </c>
      <c r="C787" s="59" t="str">
        <f t="shared" si="37"/>
        <v>Meta</v>
      </c>
      <c r="D787" s="59" t="str">
        <f t="shared" si="38"/>
        <v>San Martín, Meta</v>
      </c>
      <c r="E787" s="55">
        <v>50689</v>
      </c>
      <c r="F787" s="56">
        <v>0.05</v>
      </c>
      <c r="G787" s="56">
        <v>0.15</v>
      </c>
      <c r="H787" s="56" t="s">
        <v>36</v>
      </c>
      <c r="I787" s="56">
        <v>0.04</v>
      </c>
      <c r="J787" s="57">
        <v>0.02</v>
      </c>
    </row>
    <row r="788" spans="1:10" ht="17.25" thickBot="1" x14ac:dyDescent="0.35">
      <c r="A788" s="58" t="s">
        <v>783</v>
      </c>
      <c r="B788" s="59">
        <f t="shared" si="36"/>
        <v>0</v>
      </c>
      <c r="C788" s="59" t="str">
        <f t="shared" si="37"/>
        <v>Meta</v>
      </c>
      <c r="D788" s="59" t="str">
        <f t="shared" si="38"/>
        <v>Vista Hermosa, Meta</v>
      </c>
      <c r="E788" s="55">
        <v>50711</v>
      </c>
      <c r="F788" s="56">
        <v>0.05</v>
      </c>
      <c r="G788" s="56">
        <v>0.15</v>
      </c>
      <c r="H788" s="56" t="s">
        <v>36</v>
      </c>
      <c r="I788" s="56">
        <v>0.04</v>
      </c>
      <c r="J788" s="57">
        <v>0.02</v>
      </c>
    </row>
    <row r="789" spans="1:10" ht="17.25" thickBot="1" x14ac:dyDescent="0.35">
      <c r="A789" s="43" t="s">
        <v>784</v>
      </c>
      <c r="B789" s="44">
        <f t="shared" si="36"/>
        <v>1</v>
      </c>
      <c r="C789" s="44" t="str">
        <f t="shared" si="37"/>
        <v>Nariño</v>
      </c>
      <c r="D789" s="44" t="str">
        <f t="shared" si="38"/>
        <v/>
      </c>
      <c r="E789" s="45"/>
      <c r="F789" s="46"/>
      <c r="G789" s="46"/>
      <c r="H789" s="46"/>
      <c r="I789" s="46"/>
      <c r="J789" s="47"/>
    </row>
    <row r="790" spans="1:10" ht="17.25" thickBot="1" x14ac:dyDescent="0.35">
      <c r="A790" s="53" t="s">
        <v>785</v>
      </c>
      <c r="B790" s="54">
        <f t="shared" si="36"/>
        <v>0</v>
      </c>
      <c r="C790" s="54" t="str">
        <f t="shared" si="37"/>
        <v>Nariño</v>
      </c>
      <c r="D790" s="54" t="str">
        <f t="shared" si="38"/>
        <v>Pasto, Nariño</v>
      </c>
      <c r="E790" s="55">
        <v>52001</v>
      </c>
      <c r="F790" s="56">
        <v>0.25</v>
      </c>
      <c r="G790" s="56">
        <v>0.25</v>
      </c>
      <c r="H790" s="56" t="s">
        <v>39</v>
      </c>
      <c r="I790" s="56">
        <v>0.15</v>
      </c>
      <c r="J790" s="57">
        <v>0.08</v>
      </c>
    </row>
    <row r="791" spans="1:10" ht="17.25" thickBot="1" x14ac:dyDescent="0.35">
      <c r="A791" s="58" t="s">
        <v>559</v>
      </c>
      <c r="B791" s="59">
        <f t="shared" si="36"/>
        <v>0</v>
      </c>
      <c r="C791" s="59" t="str">
        <f t="shared" si="37"/>
        <v>Nariño</v>
      </c>
      <c r="D791" s="59" t="str">
        <f t="shared" si="38"/>
        <v>Albán, Nariño</v>
      </c>
      <c r="E791" s="55">
        <v>52019</v>
      </c>
      <c r="F791" s="56">
        <v>0.25</v>
      </c>
      <c r="G791" s="56">
        <v>0.25</v>
      </c>
      <c r="H791" s="56" t="s">
        <v>39</v>
      </c>
      <c r="I791" s="56">
        <v>0.16</v>
      </c>
      <c r="J791" s="57">
        <v>0.08</v>
      </c>
    </row>
    <row r="792" spans="1:10" ht="17.25" thickBot="1" x14ac:dyDescent="0.35">
      <c r="A792" s="58" t="s">
        <v>786</v>
      </c>
      <c r="B792" s="59">
        <f t="shared" si="36"/>
        <v>0</v>
      </c>
      <c r="C792" s="59" t="str">
        <f t="shared" si="37"/>
        <v>Nariño</v>
      </c>
      <c r="D792" s="59" t="str">
        <f t="shared" si="38"/>
        <v>Aldana, Nariño</v>
      </c>
      <c r="E792" s="55">
        <v>52022</v>
      </c>
      <c r="F792" s="56">
        <v>0.25</v>
      </c>
      <c r="G792" s="56">
        <v>0.25</v>
      </c>
      <c r="H792" s="56" t="s">
        <v>39</v>
      </c>
      <c r="I792" s="56">
        <v>0.14000000000000001</v>
      </c>
      <c r="J792" s="57">
        <v>0.08</v>
      </c>
    </row>
    <row r="793" spans="1:10" ht="17.25" thickBot="1" x14ac:dyDescent="0.35">
      <c r="A793" s="58" t="s">
        <v>787</v>
      </c>
      <c r="B793" s="59">
        <f t="shared" si="36"/>
        <v>0</v>
      </c>
      <c r="C793" s="59" t="str">
        <f t="shared" si="37"/>
        <v>Nariño</v>
      </c>
      <c r="D793" s="59" t="str">
        <f t="shared" si="38"/>
        <v>Ancuyá, Nariño</v>
      </c>
      <c r="E793" s="55">
        <v>52036</v>
      </c>
      <c r="F793" s="56">
        <v>0.25</v>
      </c>
      <c r="G793" s="56">
        <v>0.25</v>
      </c>
      <c r="H793" s="56" t="s">
        <v>39</v>
      </c>
      <c r="I793" s="56">
        <v>0.15</v>
      </c>
      <c r="J793" s="57">
        <v>0.08</v>
      </c>
    </row>
    <row r="794" spans="1:10" ht="17.25" thickBot="1" x14ac:dyDescent="0.35">
      <c r="A794" s="58" t="s">
        <v>788</v>
      </c>
      <c r="B794" s="59">
        <f t="shared" si="36"/>
        <v>0</v>
      </c>
      <c r="C794" s="59" t="str">
        <f t="shared" si="37"/>
        <v>Nariño</v>
      </c>
      <c r="D794" s="59" t="str">
        <f t="shared" si="38"/>
        <v>Arboleda, Nariño</v>
      </c>
      <c r="E794" s="55">
        <v>52051</v>
      </c>
      <c r="F794" s="56">
        <v>0.25</v>
      </c>
      <c r="G794" s="56">
        <v>0.25</v>
      </c>
      <c r="H794" s="56" t="s">
        <v>39</v>
      </c>
      <c r="I794" s="56">
        <v>0.15</v>
      </c>
      <c r="J794" s="57">
        <v>0.08</v>
      </c>
    </row>
    <row r="795" spans="1:10" ht="17.25" thickBot="1" x14ac:dyDescent="0.35">
      <c r="A795" s="58" t="s">
        <v>789</v>
      </c>
      <c r="B795" s="59">
        <f t="shared" si="36"/>
        <v>0</v>
      </c>
      <c r="C795" s="59" t="str">
        <f t="shared" si="37"/>
        <v>Nariño</v>
      </c>
      <c r="D795" s="59" t="str">
        <f t="shared" si="38"/>
        <v>Barbacoas, Nariño</v>
      </c>
      <c r="E795" s="55">
        <v>52079</v>
      </c>
      <c r="F795" s="56">
        <v>0.35</v>
      </c>
      <c r="G795" s="56">
        <v>0.35</v>
      </c>
      <c r="H795" s="56" t="s">
        <v>39</v>
      </c>
      <c r="I795" s="56">
        <v>0.16</v>
      </c>
      <c r="J795" s="57">
        <v>0.08</v>
      </c>
    </row>
    <row r="796" spans="1:10" ht="17.25" thickBot="1" x14ac:dyDescent="0.35">
      <c r="A796" s="58" t="s">
        <v>262</v>
      </c>
      <c r="B796" s="59">
        <f t="shared" si="36"/>
        <v>0</v>
      </c>
      <c r="C796" s="59" t="str">
        <f t="shared" si="37"/>
        <v>Nariño</v>
      </c>
      <c r="D796" s="59" t="str">
        <f t="shared" si="38"/>
        <v>Belén, Nariño</v>
      </c>
      <c r="E796" s="55">
        <v>52083</v>
      </c>
      <c r="F796" s="56">
        <v>0.25</v>
      </c>
      <c r="G796" s="56">
        <v>0.25</v>
      </c>
      <c r="H796" s="56" t="s">
        <v>39</v>
      </c>
      <c r="I796" s="56">
        <v>0.16</v>
      </c>
      <c r="J796" s="57">
        <v>0.08</v>
      </c>
    </row>
    <row r="797" spans="1:10" ht="17.25" thickBot="1" x14ac:dyDescent="0.35">
      <c r="A797" s="58" t="s">
        <v>790</v>
      </c>
      <c r="B797" s="59">
        <f t="shared" si="36"/>
        <v>0</v>
      </c>
      <c r="C797" s="59" t="str">
        <f t="shared" si="37"/>
        <v>Nariño</v>
      </c>
      <c r="D797" s="59" t="str">
        <f t="shared" si="38"/>
        <v>Buesaco, Nariño</v>
      </c>
      <c r="E797" s="55">
        <v>52110</v>
      </c>
      <c r="F797" s="56">
        <v>0.25</v>
      </c>
      <c r="G797" s="56">
        <v>0.25</v>
      </c>
      <c r="H797" s="56" t="s">
        <v>39</v>
      </c>
      <c r="I797" s="56">
        <v>0.16</v>
      </c>
      <c r="J797" s="57">
        <v>0.08</v>
      </c>
    </row>
    <row r="798" spans="1:10" ht="17.25" thickBot="1" x14ac:dyDescent="0.35">
      <c r="A798" s="58" t="s">
        <v>791</v>
      </c>
      <c r="B798" s="59">
        <f t="shared" si="36"/>
        <v>0</v>
      </c>
      <c r="C798" s="59" t="str">
        <f t="shared" si="37"/>
        <v>Nariño</v>
      </c>
      <c r="D798" s="59" t="str">
        <f t="shared" si="38"/>
        <v>Chachagui, Nariño</v>
      </c>
      <c r="E798" s="55">
        <v>52240</v>
      </c>
      <c r="F798" s="56">
        <v>0.25</v>
      </c>
      <c r="G798" s="56">
        <v>0.25</v>
      </c>
      <c r="H798" s="56" t="s">
        <v>39</v>
      </c>
      <c r="I798" s="56">
        <v>0.11</v>
      </c>
      <c r="J798" s="57">
        <v>7.0000000000000007E-2</v>
      </c>
    </row>
    <row r="799" spans="1:10" ht="17.25" thickBot="1" x14ac:dyDescent="0.35">
      <c r="A799" s="58" t="s">
        <v>792</v>
      </c>
      <c r="B799" s="59">
        <f t="shared" si="36"/>
        <v>0</v>
      </c>
      <c r="C799" s="59" t="str">
        <f t="shared" si="37"/>
        <v>Nariño</v>
      </c>
      <c r="D799" s="59" t="str">
        <f t="shared" si="38"/>
        <v>Colón, Nariño</v>
      </c>
      <c r="E799" s="55">
        <v>52203</v>
      </c>
      <c r="F799" s="56">
        <v>0.25</v>
      </c>
      <c r="G799" s="56">
        <v>0.25</v>
      </c>
      <c r="H799" s="56" t="s">
        <v>39</v>
      </c>
      <c r="I799" s="56">
        <v>0.15</v>
      </c>
      <c r="J799" s="57">
        <v>0.08</v>
      </c>
    </row>
    <row r="800" spans="1:10" ht="17.25" thickBot="1" x14ac:dyDescent="0.35">
      <c r="A800" s="58" t="s">
        <v>793</v>
      </c>
      <c r="B800" s="59">
        <f t="shared" si="36"/>
        <v>0</v>
      </c>
      <c r="C800" s="59" t="str">
        <f t="shared" si="37"/>
        <v>Nariño</v>
      </c>
      <c r="D800" s="59" t="str">
        <f t="shared" si="38"/>
        <v>Consacá, Nariño</v>
      </c>
      <c r="E800" s="55">
        <v>52207</v>
      </c>
      <c r="F800" s="56">
        <v>0.25</v>
      </c>
      <c r="G800" s="56">
        <v>0.25</v>
      </c>
      <c r="H800" s="56" t="s">
        <v>39</v>
      </c>
      <c r="I800" s="56">
        <v>0.11</v>
      </c>
      <c r="J800" s="57">
        <v>7.0000000000000007E-2</v>
      </c>
    </row>
    <row r="801" spans="1:10" ht="17.25" thickBot="1" x14ac:dyDescent="0.35">
      <c r="A801" s="58" t="s">
        <v>794</v>
      </c>
      <c r="B801" s="59">
        <f t="shared" si="36"/>
        <v>0</v>
      </c>
      <c r="C801" s="59" t="str">
        <f t="shared" si="37"/>
        <v>Nariño</v>
      </c>
      <c r="D801" s="59" t="str">
        <f t="shared" si="38"/>
        <v>Contadero, Nariño</v>
      </c>
      <c r="E801" s="55">
        <v>52210</v>
      </c>
      <c r="F801" s="56">
        <v>0.25</v>
      </c>
      <c r="G801" s="56">
        <v>0.25</v>
      </c>
      <c r="H801" s="56" t="s">
        <v>39</v>
      </c>
      <c r="I801" s="56">
        <v>0.12</v>
      </c>
      <c r="J801" s="57">
        <v>7.0000000000000007E-2</v>
      </c>
    </row>
    <row r="802" spans="1:10" ht="17.25" thickBot="1" x14ac:dyDescent="0.35">
      <c r="A802" s="58" t="s">
        <v>28</v>
      </c>
      <c r="B802" s="59">
        <f t="shared" si="36"/>
        <v>0</v>
      </c>
      <c r="C802" s="59" t="str">
        <f t="shared" si="37"/>
        <v>Nariño</v>
      </c>
      <c r="D802" s="59" t="str">
        <f t="shared" si="38"/>
        <v>Córdoba, Nariño</v>
      </c>
      <c r="E802" s="55">
        <v>52215</v>
      </c>
      <c r="F802" s="56">
        <v>0.25</v>
      </c>
      <c r="G802" s="56">
        <v>0.25</v>
      </c>
      <c r="H802" s="56" t="s">
        <v>39</v>
      </c>
      <c r="I802" s="56">
        <v>0.16</v>
      </c>
      <c r="J802" s="57">
        <v>0.08</v>
      </c>
    </row>
    <row r="803" spans="1:10" ht="17.25" thickBot="1" x14ac:dyDescent="0.35">
      <c r="A803" s="58" t="s">
        <v>795</v>
      </c>
      <c r="B803" s="59">
        <f t="shared" si="36"/>
        <v>0</v>
      </c>
      <c r="C803" s="59" t="str">
        <f t="shared" si="37"/>
        <v>Nariño</v>
      </c>
      <c r="D803" s="59" t="str">
        <f t="shared" si="38"/>
        <v>Cuaspud, Nariño</v>
      </c>
      <c r="E803" s="55">
        <v>52224</v>
      </c>
      <c r="F803" s="56">
        <v>0.25</v>
      </c>
      <c r="G803" s="56">
        <v>0.25</v>
      </c>
      <c r="H803" s="56" t="s">
        <v>39</v>
      </c>
      <c r="I803" s="56">
        <v>0.14000000000000001</v>
      </c>
      <c r="J803" s="57">
        <v>0.08</v>
      </c>
    </row>
    <row r="804" spans="1:10" ht="17.25" thickBot="1" x14ac:dyDescent="0.35">
      <c r="A804" s="58" t="s">
        <v>796</v>
      </c>
      <c r="B804" s="59">
        <f t="shared" si="36"/>
        <v>0</v>
      </c>
      <c r="C804" s="59" t="str">
        <f t="shared" si="37"/>
        <v>Nariño</v>
      </c>
      <c r="D804" s="59" t="str">
        <f t="shared" si="38"/>
        <v>Cumbal, Nariño</v>
      </c>
      <c r="E804" s="55">
        <v>52227</v>
      </c>
      <c r="F804" s="56">
        <v>0.3</v>
      </c>
      <c r="G804" s="56">
        <v>0.25</v>
      </c>
      <c r="H804" s="56" t="s">
        <v>39</v>
      </c>
      <c r="I804" s="56">
        <v>0.16</v>
      </c>
      <c r="J804" s="57">
        <v>0.08</v>
      </c>
    </row>
    <row r="805" spans="1:10" ht="17.25" thickBot="1" x14ac:dyDescent="0.35">
      <c r="A805" s="58" t="s">
        <v>797</v>
      </c>
      <c r="B805" s="59">
        <f t="shared" si="36"/>
        <v>0</v>
      </c>
      <c r="C805" s="59" t="str">
        <f t="shared" si="37"/>
        <v>Nariño</v>
      </c>
      <c r="D805" s="59" t="str">
        <f t="shared" si="38"/>
        <v>Cumbitará, Nariño</v>
      </c>
      <c r="E805" s="55">
        <v>52233</v>
      </c>
      <c r="F805" s="56">
        <v>0.3</v>
      </c>
      <c r="G805" s="56">
        <v>0.3</v>
      </c>
      <c r="H805" s="56" t="s">
        <v>39</v>
      </c>
      <c r="I805" s="56">
        <v>0.1</v>
      </c>
      <c r="J805" s="57">
        <v>7.0000000000000007E-2</v>
      </c>
    </row>
    <row r="806" spans="1:10" ht="17.25" thickBot="1" x14ac:dyDescent="0.35">
      <c r="A806" s="58" t="s">
        <v>798</v>
      </c>
      <c r="B806" s="59">
        <f t="shared" si="36"/>
        <v>0</v>
      </c>
      <c r="C806" s="59" t="str">
        <f t="shared" si="37"/>
        <v>Nariño</v>
      </c>
      <c r="D806" s="59" t="str">
        <f t="shared" si="38"/>
        <v>El Charco, Nariño</v>
      </c>
      <c r="E806" s="55">
        <v>52250</v>
      </c>
      <c r="F806" s="56">
        <v>0.4</v>
      </c>
      <c r="G806" s="56">
        <v>0.35</v>
      </c>
      <c r="H806" s="56" t="s">
        <v>39</v>
      </c>
      <c r="I806" s="56">
        <v>0.13</v>
      </c>
      <c r="J806" s="57">
        <v>0.08</v>
      </c>
    </row>
    <row r="807" spans="1:10" ht="17.25" thickBot="1" x14ac:dyDescent="0.35">
      <c r="A807" s="58" t="s">
        <v>799</v>
      </c>
      <c r="B807" s="59">
        <f t="shared" si="36"/>
        <v>0</v>
      </c>
      <c r="C807" s="59" t="str">
        <f t="shared" si="37"/>
        <v>Nariño</v>
      </c>
      <c r="D807" s="59" t="str">
        <f t="shared" si="38"/>
        <v>El Peñol, Nariño</v>
      </c>
      <c r="E807" s="55">
        <v>52254</v>
      </c>
      <c r="F807" s="56">
        <v>0.25</v>
      </c>
      <c r="G807" s="56">
        <v>0.25</v>
      </c>
      <c r="H807" s="56" t="s">
        <v>39</v>
      </c>
      <c r="I807" s="56">
        <v>0.16</v>
      </c>
      <c r="J807" s="57">
        <v>0.08</v>
      </c>
    </row>
    <row r="808" spans="1:10" ht="17.25" thickBot="1" x14ac:dyDescent="0.35">
      <c r="A808" s="58" t="s">
        <v>800</v>
      </c>
      <c r="B808" s="59">
        <f t="shared" si="36"/>
        <v>0</v>
      </c>
      <c r="C808" s="59" t="str">
        <f t="shared" si="37"/>
        <v>Nariño</v>
      </c>
      <c r="D808" s="59" t="str">
        <f t="shared" si="38"/>
        <v>El Rosario, Nariño</v>
      </c>
      <c r="E808" s="55">
        <v>52256</v>
      </c>
      <c r="F808" s="56">
        <v>0.3</v>
      </c>
      <c r="G808" s="56">
        <v>0.3</v>
      </c>
      <c r="H808" s="56" t="s">
        <v>39</v>
      </c>
      <c r="I808" s="56">
        <v>0.11</v>
      </c>
      <c r="J808" s="57">
        <v>7.0000000000000007E-2</v>
      </c>
    </row>
    <row r="809" spans="1:10" ht="17.25" thickBot="1" x14ac:dyDescent="0.35">
      <c r="A809" s="58" t="s">
        <v>801</v>
      </c>
      <c r="B809" s="59">
        <f t="shared" si="36"/>
        <v>0</v>
      </c>
      <c r="C809" s="59" t="str">
        <f t="shared" si="37"/>
        <v>Nariño</v>
      </c>
      <c r="D809" s="59" t="str">
        <f t="shared" si="38"/>
        <v>El Tablón, Nariño</v>
      </c>
      <c r="E809" s="55">
        <v>52258</v>
      </c>
      <c r="F809" s="56">
        <v>0.25</v>
      </c>
      <c r="G809" s="56">
        <v>0.25</v>
      </c>
      <c r="H809" s="56" t="s">
        <v>39</v>
      </c>
      <c r="I809" s="56">
        <v>0.16</v>
      </c>
      <c r="J809" s="57">
        <v>0.08</v>
      </c>
    </row>
    <row r="810" spans="1:10" ht="17.25" thickBot="1" x14ac:dyDescent="0.35">
      <c r="A810" s="58" t="s">
        <v>446</v>
      </c>
      <c r="B810" s="59">
        <f t="shared" si="36"/>
        <v>0</v>
      </c>
      <c r="C810" s="59" t="str">
        <f t="shared" si="37"/>
        <v>Nariño</v>
      </c>
      <c r="D810" s="59" t="str">
        <f t="shared" si="38"/>
        <v>El Tambo, Nariño</v>
      </c>
      <c r="E810" s="55">
        <v>52260</v>
      </c>
      <c r="F810" s="56">
        <v>0.25</v>
      </c>
      <c r="G810" s="56">
        <v>0.25</v>
      </c>
      <c r="H810" s="56" t="s">
        <v>39</v>
      </c>
      <c r="I810" s="56">
        <v>0.13</v>
      </c>
      <c r="J810" s="57">
        <v>0.08</v>
      </c>
    </row>
    <row r="811" spans="1:10" ht="17.25" thickBot="1" x14ac:dyDescent="0.35">
      <c r="A811" s="58" t="s">
        <v>802</v>
      </c>
      <c r="B811" s="59">
        <f t="shared" si="36"/>
        <v>0</v>
      </c>
      <c r="C811" s="59" t="str">
        <f t="shared" si="37"/>
        <v>Nariño</v>
      </c>
      <c r="D811" s="59" t="str">
        <f t="shared" si="38"/>
        <v>Francisco Pizarro, Nariño</v>
      </c>
      <c r="E811" s="55">
        <v>52520</v>
      </c>
      <c r="F811" s="56">
        <v>0.5</v>
      </c>
      <c r="G811" s="56">
        <v>0.4</v>
      </c>
      <c r="H811" s="56" t="s">
        <v>39</v>
      </c>
      <c r="I811" s="56">
        <v>0.16</v>
      </c>
      <c r="J811" s="57">
        <v>0.08</v>
      </c>
    </row>
    <row r="812" spans="1:10" ht="17.25" thickBot="1" x14ac:dyDescent="0.35">
      <c r="A812" s="58" t="s">
        <v>803</v>
      </c>
      <c r="B812" s="59">
        <f t="shared" si="36"/>
        <v>0</v>
      </c>
      <c r="C812" s="59" t="str">
        <f t="shared" si="37"/>
        <v>Nariño</v>
      </c>
      <c r="D812" s="59" t="str">
        <f t="shared" si="38"/>
        <v>Funes, Nariño</v>
      </c>
      <c r="E812" s="55">
        <v>52287</v>
      </c>
      <c r="F812" s="56">
        <v>0.25</v>
      </c>
      <c r="G812" s="56">
        <v>0.25</v>
      </c>
      <c r="H812" s="56" t="s">
        <v>39</v>
      </c>
      <c r="I812" s="56">
        <v>0.16</v>
      </c>
      <c r="J812" s="57">
        <v>0.08</v>
      </c>
    </row>
    <row r="813" spans="1:10" ht="17.25" thickBot="1" x14ac:dyDescent="0.35">
      <c r="A813" s="58" t="s">
        <v>804</v>
      </c>
      <c r="B813" s="59">
        <f t="shared" si="36"/>
        <v>0</v>
      </c>
      <c r="C813" s="59" t="str">
        <f t="shared" si="37"/>
        <v>Nariño</v>
      </c>
      <c r="D813" s="59" t="str">
        <f t="shared" si="38"/>
        <v>Guachucal, Nariño</v>
      </c>
      <c r="E813" s="55">
        <v>52317</v>
      </c>
      <c r="F813" s="56">
        <v>0.25</v>
      </c>
      <c r="G813" s="56">
        <v>0.25</v>
      </c>
      <c r="H813" s="56" t="s">
        <v>39</v>
      </c>
      <c r="I813" s="56">
        <v>0.16</v>
      </c>
      <c r="J813" s="57">
        <v>0.08</v>
      </c>
    </row>
    <row r="814" spans="1:10" ht="17.25" thickBot="1" x14ac:dyDescent="0.35">
      <c r="A814" s="58" t="s">
        <v>805</v>
      </c>
      <c r="B814" s="59">
        <f t="shared" si="36"/>
        <v>0</v>
      </c>
      <c r="C814" s="59" t="str">
        <f t="shared" si="37"/>
        <v>Nariño</v>
      </c>
      <c r="D814" s="59" t="str">
        <f t="shared" si="38"/>
        <v>Guaitarilla, Nariño</v>
      </c>
      <c r="E814" s="55">
        <v>52320</v>
      </c>
      <c r="F814" s="56">
        <v>0.25</v>
      </c>
      <c r="G814" s="56">
        <v>0.25</v>
      </c>
      <c r="H814" s="56" t="s">
        <v>39</v>
      </c>
      <c r="I814" s="56">
        <v>0.13</v>
      </c>
      <c r="J814" s="57">
        <v>0.08</v>
      </c>
    </row>
    <row r="815" spans="1:10" ht="17.25" thickBot="1" x14ac:dyDescent="0.35">
      <c r="A815" s="58" t="s">
        <v>806</v>
      </c>
      <c r="B815" s="59">
        <f t="shared" si="36"/>
        <v>0</v>
      </c>
      <c r="C815" s="59" t="str">
        <f t="shared" si="37"/>
        <v>Nariño</v>
      </c>
      <c r="D815" s="59" t="str">
        <f t="shared" si="38"/>
        <v>Gualmatán, Nariño</v>
      </c>
      <c r="E815" s="55">
        <v>52323</v>
      </c>
      <c r="F815" s="56">
        <v>0.25</v>
      </c>
      <c r="G815" s="56">
        <v>0.25</v>
      </c>
      <c r="H815" s="56" t="s">
        <v>39</v>
      </c>
      <c r="I815" s="56">
        <v>0.12</v>
      </c>
      <c r="J815" s="57">
        <v>7.0000000000000007E-2</v>
      </c>
    </row>
    <row r="816" spans="1:10" ht="17.25" thickBot="1" x14ac:dyDescent="0.35">
      <c r="A816" s="58" t="s">
        <v>807</v>
      </c>
      <c r="B816" s="59">
        <f t="shared" si="36"/>
        <v>0</v>
      </c>
      <c r="C816" s="59" t="str">
        <f t="shared" si="37"/>
        <v>Nariño</v>
      </c>
      <c r="D816" s="59" t="str">
        <f t="shared" si="38"/>
        <v>Iles, Nariño</v>
      </c>
      <c r="E816" s="55">
        <v>52352</v>
      </c>
      <c r="F816" s="56">
        <v>0.25</v>
      </c>
      <c r="G816" s="56">
        <v>0.25</v>
      </c>
      <c r="H816" s="56" t="s">
        <v>39</v>
      </c>
      <c r="I816" s="56">
        <v>0.11</v>
      </c>
      <c r="J816" s="57">
        <v>7.0000000000000007E-2</v>
      </c>
    </row>
    <row r="817" spans="1:10" ht="17.25" thickBot="1" x14ac:dyDescent="0.35">
      <c r="A817" s="58" t="s">
        <v>808</v>
      </c>
      <c r="B817" s="59">
        <f t="shared" si="36"/>
        <v>0</v>
      </c>
      <c r="C817" s="59" t="str">
        <f t="shared" si="37"/>
        <v>Nariño</v>
      </c>
      <c r="D817" s="59" t="str">
        <f t="shared" si="38"/>
        <v>Imúes, Nariño</v>
      </c>
      <c r="E817" s="55">
        <v>52354</v>
      </c>
      <c r="F817" s="56">
        <v>0.25</v>
      </c>
      <c r="G817" s="56">
        <v>0.25</v>
      </c>
      <c r="H817" s="56" t="s">
        <v>39</v>
      </c>
      <c r="I817" s="56">
        <v>0.11</v>
      </c>
      <c r="J817" s="57">
        <v>7.0000000000000007E-2</v>
      </c>
    </row>
    <row r="818" spans="1:10" ht="17.25" thickBot="1" x14ac:dyDescent="0.35">
      <c r="A818" s="58" t="s">
        <v>809</v>
      </c>
      <c r="B818" s="59">
        <f t="shared" si="36"/>
        <v>0</v>
      </c>
      <c r="C818" s="59" t="str">
        <f t="shared" si="37"/>
        <v>Nariño</v>
      </c>
      <c r="D818" s="59" t="str">
        <f t="shared" si="38"/>
        <v>Ipiales, Nariño</v>
      </c>
      <c r="E818" s="55">
        <v>52356</v>
      </c>
      <c r="F818" s="56">
        <v>0.3</v>
      </c>
      <c r="G818" s="56">
        <v>0.25</v>
      </c>
      <c r="H818" s="56" t="s">
        <v>39</v>
      </c>
      <c r="I818" s="56">
        <v>0.16</v>
      </c>
      <c r="J818" s="57">
        <v>0.08</v>
      </c>
    </row>
    <row r="819" spans="1:10" ht="17.25" thickBot="1" x14ac:dyDescent="0.35">
      <c r="A819" s="58" t="s">
        <v>810</v>
      </c>
      <c r="B819" s="59">
        <f t="shared" si="36"/>
        <v>0</v>
      </c>
      <c r="C819" s="59" t="str">
        <f t="shared" si="37"/>
        <v>Nariño</v>
      </c>
      <c r="D819" s="59" t="str">
        <f t="shared" si="38"/>
        <v>La Cruz, Nariño</v>
      </c>
      <c r="E819" s="55">
        <v>52378</v>
      </c>
      <c r="F819" s="56">
        <v>0.25</v>
      </c>
      <c r="G819" s="56">
        <v>0.25</v>
      </c>
      <c r="H819" s="56" t="s">
        <v>39</v>
      </c>
      <c r="I819" s="56">
        <v>0.16</v>
      </c>
      <c r="J819" s="57">
        <v>0.08</v>
      </c>
    </row>
    <row r="820" spans="1:10" ht="17.25" thickBot="1" x14ac:dyDescent="0.35">
      <c r="A820" s="58" t="s">
        <v>811</v>
      </c>
      <c r="B820" s="59">
        <f t="shared" si="36"/>
        <v>0</v>
      </c>
      <c r="C820" s="59" t="str">
        <f t="shared" si="37"/>
        <v>Nariño</v>
      </c>
      <c r="D820" s="59" t="str">
        <f t="shared" si="38"/>
        <v>La Florida, Nariño</v>
      </c>
      <c r="E820" s="55">
        <v>52381</v>
      </c>
      <c r="F820" s="56">
        <v>0.25</v>
      </c>
      <c r="G820" s="56">
        <v>0.25</v>
      </c>
      <c r="H820" s="56" t="s">
        <v>39</v>
      </c>
      <c r="I820" s="56">
        <v>0.12</v>
      </c>
      <c r="J820" s="57">
        <v>7.0000000000000007E-2</v>
      </c>
    </row>
    <row r="821" spans="1:10" ht="17.25" thickBot="1" x14ac:dyDescent="0.35">
      <c r="A821" s="58" t="s">
        <v>812</v>
      </c>
      <c r="B821" s="59">
        <f t="shared" si="36"/>
        <v>0</v>
      </c>
      <c r="C821" s="59" t="str">
        <f t="shared" si="37"/>
        <v>Nariño</v>
      </c>
      <c r="D821" s="59" t="str">
        <f t="shared" si="38"/>
        <v>La Llanada, Nariño</v>
      </c>
      <c r="E821" s="55">
        <v>52385</v>
      </c>
      <c r="F821" s="56">
        <v>0.3</v>
      </c>
      <c r="G821" s="56">
        <v>0.3</v>
      </c>
      <c r="H821" s="56" t="s">
        <v>39</v>
      </c>
      <c r="I821" s="56">
        <v>0.11</v>
      </c>
      <c r="J821" s="57">
        <v>7.0000000000000007E-2</v>
      </c>
    </row>
    <row r="822" spans="1:10" ht="17.25" thickBot="1" x14ac:dyDescent="0.35">
      <c r="A822" s="58" t="s">
        <v>813</v>
      </c>
      <c r="B822" s="59">
        <f t="shared" si="36"/>
        <v>0</v>
      </c>
      <c r="C822" s="59" t="str">
        <f t="shared" si="37"/>
        <v>Nariño</v>
      </c>
      <c r="D822" s="59" t="str">
        <f t="shared" si="38"/>
        <v>La Tola, Nariño</v>
      </c>
      <c r="E822" s="55">
        <v>52390</v>
      </c>
      <c r="F822" s="56">
        <v>0.5</v>
      </c>
      <c r="G822" s="56">
        <v>0.4</v>
      </c>
      <c r="H822" s="56" t="s">
        <v>39</v>
      </c>
      <c r="I822" s="56">
        <v>0.16</v>
      </c>
      <c r="J822" s="57">
        <v>0.08</v>
      </c>
    </row>
    <row r="823" spans="1:10" ht="17.25" thickBot="1" x14ac:dyDescent="0.35">
      <c r="A823" s="58" t="s">
        <v>120</v>
      </c>
      <c r="B823" s="59">
        <f t="shared" si="36"/>
        <v>0</v>
      </c>
      <c r="C823" s="59" t="str">
        <f t="shared" si="37"/>
        <v>Nariño</v>
      </c>
      <c r="D823" s="59" t="str">
        <f t="shared" si="38"/>
        <v>La Unión, Nariño</v>
      </c>
      <c r="E823" s="55">
        <v>52399</v>
      </c>
      <c r="F823" s="56">
        <v>0.25</v>
      </c>
      <c r="G823" s="56">
        <v>0.25</v>
      </c>
      <c r="H823" s="56" t="s">
        <v>39</v>
      </c>
      <c r="I823" s="56">
        <v>0.12</v>
      </c>
      <c r="J823" s="57">
        <v>7.0000000000000007E-2</v>
      </c>
    </row>
    <row r="824" spans="1:10" ht="17.25" thickBot="1" x14ac:dyDescent="0.35">
      <c r="A824" s="58" t="s">
        <v>814</v>
      </c>
      <c r="B824" s="59">
        <f t="shared" si="36"/>
        <v>0</v>
      </c>
      <c r="C824" s="59" t="str">
        <f t="shared" si="37"/>
        <v>Nariño</v>
      </c>
      <c r="D824" s="59" t="str">
        <f t="shared" si="38"/>
        <v>Leiva, Nariño</v>
      </c>
      <c r="E824" s="55">
        <v>52405</v>
      </c>
      <c r="F824" s="56">
        <v>0.3</v>
      </c>
      <c r="G824" s="56">
        <v>0.25</v>
      </c>
      <c r="H824" s="56" t="s">
        <v>39</v>
      </c>
      <c r="I824" s="56">
        <v>0.15</v>
      </c>
      <c r="J824" s="57">
        <v>0.08</v>
      </c>
    </row>
    <row r="825" spans="1:10" ht="17.25" thickBot="1" x14ac:dyDescent="0.35">
      <c r="A825" s="58" t="s">
        <v>815</v>
      </c>
      <c r="B825" s="59">
        <f t="shared" si="36"/>
        <v>0</v>
      </c>
      <c r="C825" s="59" t="str">
        <f t="shared" si="37"/>
        <v>Nariño</v>
      </c>
      <c r="D825" s="59" t="str">
        <f t="shared" si="38"/>
        <v>Linares, Nariño</v>
      </c>
      <c r="E825" s="55">
        <v>52411</v>
      </c>
      <c r="F825" s="56">
        <v>0.25</v>
      </c>
      <c r="G825" s="56">
        <v>0.25</v>
      </c>
      <c r="H825" s="56" t="s">
        <v>39</v>
      </c>
      <c r="I825" s="56">
        <v>0.16</v>
      </c>
      <c r="J825" s="57">
        <v>0.08</v>
      </c>
    </row>
    <row r="826" spans="1:10" ht="17.25" thickBot="1" x14ac:dyDescent="0.35">
      <c r="A826" s="58" t="s">
        <v>816</v>
      </c>
      <c r="B826" s="59">
        <f t="shared" si="36"/>
        <v>0</v>
      </c>
      <c r="C826" s="59" t="str">
        <f t="shared" si="37"/>
        <v>Nariño</v>
      </c>
      <c r="D826" s="59" t="str">
        <f t="shared" si="38"/>
        <v>Los Andes, Nariño</v>
      </c>
      <c r="E826" s="55">
        <v>52418</v>
      </c>
      <c r="F826" s="56">
        <v>0.3</v>
      </c>
      <c r="G826" s="56">
        <v>0.3</v>
      </c>
      <c r="H826" s="56" t="s">
        <v>39</v>
      </c>
      <c r="I826" s="56">
        <v>0.12</v>
      </c>
      <c r="J826" s="57">
        <v>7.0000000000000007E-2</v>
      </c>
    </row>
    <row r="827" spans="1:10" ht="17.25" thickBot="1" x14ac:dyDescent="0.35">
      <c r="A827" s="58" t="s">
        <v>817</v>
      </c>
      <c r="B827" s="59">
        <f t="shared" si="36"/>
        <v>0</v>
      </c>
      <c r="C827" s="59" t="str">
        <f t="shared" si="37"/>
        <v>Nariño</v>
      </c>
      <c r="D827" s="59" t="str">
        <f t="shared" si="38"/>
        <v>Magüí, Nariño</v>
      </c>
      <c r="E827" s="55">
        <v>52427</v>
      </c>
      <c r="F827" s="56">
        <v>0.4</v>
      </c>
      <c r="G827" s="56">
        <v>0.35</v>
      </c>
      <c r="H827" s="56" t="s">
        <v>39</v>
      </c>
      <c r="I827" s="56">
        <v>0.16</v>
      </c>
      <c r="J827" s="57">
        <v>0.08</v>
      </c>
    </row>
    <row r="828" spans="1:10" ht="17.25" thickBot="1" x14ac:dyDescent="0.35">
      <c r="A828" s="58" t="s">
        <v>818</v>
      </c>
      <c r="B828" s="59">
        <f t="shared" si="36"/>
        <v>0</v>
      </c>
      <c r="C828" s="59" t="str">
        <f t="shared" si="37"/>
        <v>Nariño</v>
      </c>
      <c r="D828" s="59" t="str">
        <f t="shared" si="38"/>
        <v>Mallama, Nariño</v>
      </c>
      <c r="E828" s="55">
        <v>52435</v>
      </c>
      <c r="F828" s="56">
        <v>0.3</v>
      </c>
      <c r="G828" s="56">
        <v>0.25</v>
      </c>
      <c r="H828" s="56" t="s">
        <v>39</v>
      </c>
      <c r="I828" s="56">
        <v>0.16</v>
      </c>
      <c r="J828" s="57">
        <v>0.08</v>
      </c>
    </row>
    <row r="829" spans="1:10" ht="17.25" thickBot="1" x14ac:dyDescent="0.35">
      <c r="A829" s="58" t="s">
        <v>613</v>
      </c>
      <c r="B829" s="59">
        <f t="shared" si="36"/>
        <v>0</v>
      </c>
      <c r="C829" s="59" t="str">
        <f t="shared" si="37"/>
        <v>Nariño</v>
      </c>
      <c r="D829" s="59" t="str">
        <f t="shared" si="38"/>
        <v>Mosquera, Nariño</v>
      </c>
      <c r="E829" s="55">
        <v>52473</v>
      </c>
      <c r="F829" s="56">
        <v>0.5</v>
      </c>
      <c r="G829" s="56">
        <v>0.4</v>
      </c>
      <c r="H829" s="56" t="s">
        <v>39</v>
      </c>
      <c r="I829" s="56">
        <v>0.16</v>
      </c>
      <c r="J829" s="57">
        <v>0.08</v>
      </c>
    </row>
    <row r="830" spans="1:10" ht="17.25" thickBot="1" x14ac:dyDescent="0.35">
      <c r="A830" s="58" t="s">
        <v>819</v>
      </c>
      <c r="B830" s="59">
        <f t="shared" si="36"/>
        <v>0</v>
      </c>
      <c r="C830" s="59" t="str">
        <f t="shared" si="37"/>
        <v>Nariño</v>
      </c>
      <c r="D830" s="59" t="str">
        <f t="shared" si="38"/>
        <v>Olaya Herrera, Nariño</v>
      </c>
      <c r="E830" s="55">
        <v>52490</v>
      </c>
      <c r="F830" s="56">
        <v>0.5</v>
      </c>
      <c r="G830" s="56">
        <v>0.4</v>
      </c>
      <c r="H830" s="56" t="s">
        <v>39</v>
      </c>
      <c r="I830" s="56">
        <v>0.16</v>
      </c>
      <c r="J830" s="57">
        <v>0.08</v>
      </c>
    </row>
    <row r="831" spans="1:10" ht="17.25" thickBot="1" x14ac:dyDescent="0.35">
      <c r="A831" s="58" t="s">
        <v>820</v>
      </c>
      <c r="B831" s="59">
        <f t="shared" si="36"/>
        <v>0</v>
      </c>
      <c r="C831" s="59" t="str">
        <f t="shared" si="37"/>
        <v>Nariño</v>
      </c>
      <c r="D831" s="59" t="str">
        <f t="shared" si="38"/>
        <v>Ospina, Nariño</v>
      </c>
      <c r="E831" s="55">
        <v>52506</v>
      </c>
      <c r="F831" s="56">
        <v>0.25</v>
      </c>
      <c r="G831" s="56">
        <v>0.25</v>
      </c>
      <c r="H831" s="56" t="s">
        <v>39</v>
      </c>
      <c r="I831" s="56">
        <v>0.12</v>
      </c>
      <c r="J831" s="57">
        <v>0.08</v>
      </c>
    </row>
    <row r="832" spans="1:10" ht="17.25" thickBot="1" x14ac:dyDescent="0.35">
      <c r="A832" s="58" t="s">
        <v>821</v>
      </c>
      <c r="B832" s="59">
        <f t="shared" si="36"/>
        <v>0</v>
      </c>
      <c r="C832" s="59" t="str">
        <f t="shared" si="37"/>
        <v>Nariño</v>
      </c>
      <c r="D832" s="59" t="str">
        <f t="shared" si="38"/>
        <v>Policarpa, Nariño</v>
      </c>
      <c r="E832" s="55">
        <v>52540</v>
      </c>
      <c r="F832" s="56">
        <v>0.3</v>
      </c>
      <c r="G832" s="56">
        <v>0.3</v>
      </c>
      <c r="H832" s="56" t="s">
        <v>39</v>
      </c>
      <c r="I832" s="56">
        <v>0.13</v>
      </c>
      <c r="J832" s="57">
        <v>0.08</v>
      </c>
    </row>
    <row r="833" spans="1:10" ht="17.25" thickBot="1" x14ac:dyDescent="0.35">
      <c r="A833" s="58" t="s">
        <v>822</v>
      </c>
      <c r="B833" s="59">
        <f t="shared" si="36"/>
        <v>0</v>
      </c>
      <c r="C833" s="59" t="str">
        <f t="shared" si="37"/>
        <v>Nariño</v>
      </c>
      <c r="D833" s="59" t="str">
        <f t="shared" si="38"/>
        <v>Potosí, Nariño</v>
      </c>
      <c r="E833" s="55">
        <v>52560</v>
      </c>
      <c r="F833" s="56">
        <v>0.25</v>
      </c>
      <c r="G833" s="56">
        <v>0.25</v>
      </c>
      <c r="H833" s="56" t="s">
        <v>39</v>
      </c>
      <c r="I833" s="56">
        <v>0.16</v>
      </c>
      <c r="J833" s="57">
        <v>0.08</v>
      </c>
    </row>
    <row r="834" spans="1:10" ht="17.25" thickBot="1" x14ac:dyDescent="0.35">
      <c r="A834" s="58" t="s">
        <v>823</v>
      </c>
      <c r="B834" s="59">
        <f t="shared" si="36"/>
        <v>0</v>
      </c>
      <c r="C834" s="59" t="str">
        <f t="shared" si="37"/>
        <v>Nariño</v>
      </c>
      <c r="D834" s="59" t="str">
        <f t="shared" si="38"/>
        <v>Providencia, Nariño</v>
      </c>
      <c r="E834" s="55">
        <v>52565</v>
      </c>
      <c r="F834" s="56">
        <v>0.25</v>
      </c>
      <c r="G834" s="56">
        <v>0.25</v>
      </c>
      <c r="H834" s="56" t="s">
        <v>39</v>
      </c>
      <c r="I834" s="56">
        <v>0.16</v>
      </c>
      <c r="J834" s="57">
        <v>0.08</v>
      </c>
    </row>
    <row r="835" spans="1:10" ht="17.25" thickBot="1" x14ac:dyDescent="0.35">
      <c r="A835" s="58" t="s">
        <v>824</v>
      </c>
      <c r="B835" s="59">
        <f t="shared" ref="B835:B898" si="39">IFERROR(FIND("Departamento",A835),0)</f>
        <v>0</v>
      </c>
      <c r="C835" s="59" t="str">
        <f t="shared" ref="C835:C898" si="40">IF(B835=1,IF(ISERROR(FIND("del",A835)),MID(A835,17,30),MID(A835,18,30)),C834)</f>
        <v>Nariño</v>
      </c>
      <c r="D835" s="59" t="str">
        <f t="shared" ref="D835:D898" si="41">IF(B835=1,"",CONCATENATE(A835,", ",C835))</f>
        <v>Puerres, Nariño</v>
      </c>
      <c r="E835" s="55">
        <v>52573</v>
      </c>
      <c r="F835" s="56">
        <v>0.25</v>
      </c>
      <c r="G835" s="56">
        <v>0.25</v>
      </c>
      <c r="H835" s="56" t="s">
        <v>39</v>
      </c>
      <c r="I835" s="56">
        <v>0.16</v>
      </c>
      <c r="J835" s="57">
        <v>0.08</v>
      </c>
    </row>
    <row r="836" spans="1:10" ht="17.25" thickBot="1" x14ac:dyDescent="0.35">
      <c r="A836" s="58" t="s">
        <v>825</v>
      </c>
      <c r="B836" s="59">
        <f t="shared" si="39"/>
        <v>0</v>
      </c>
      <c r="C836" s="59" t="str">
        <f t="shared" si="40"/>
        <v>Nariño</v>
      </c>
      <c r="D836" s="59" t="str">
        <f t="shared" si="41"/>
        <v>Pupiales, Nariño</v>
      </c>
      <c r="E836" s="55">
        <v>52585</v>
      </c>
      <c r="F836" s="56">
        <v>0.25</v>
      </c>
      <c r="G836" s="56">
        <v>0.25</v>
      </c>
      <c r="H836" s="56" t="s">
        <v>39</v>
      </c>
      <c r="I836" s="56">
        <v>0.12</v>
      </c>
      <c r="J836" s="57">
        <v>0.08</v>
      </c>
    </row>
    <row r="837" spans="1:10" ht="17.25" thickBot="1" x14ac:dyDescent="0.35">
      <c r="A837" s="58" t="s">
        <v>628</v>
      </c>
      <c r="B837" s="59">
        <f t="shared" si="39"/>
        <v>0</v>
      </c>
      <c r="C837" s="59" t="str">
        <f t="shared" si="40"/>
        <v>Nariño</v>
      </c>
      <c r="D837" s="59" t="str">
        <f t="shared" si="41"/>
        <v>Ricaurte, Nariño</v>
      </c>
      <c r="E837" s="55">
        <v>52612</v>
      </c>
      <c r="F837" s="56">
        <v>0.35</v>
      </c>
      <c r="G837" s="56">
        <v>0.3</v>
      </c>
      <c r="H837" s="56" t="s">
        <v>39</v>
      </c>
      <c r="I837" s="56">
        <v>0.16</v>
      </c>
      <c r="J837" s="57">
        <v>0.08</v>
      </c>
    </row>
    <row r="838" spans="1:10" ht="17.25" thickBot="1" x14ac:dyDescent="0.35">
      <c r="A838" s="58" t="s">
        <v>826</v>
      </c>
      <c r="B838" s="59">
        <f t="shared" si="39"/>
        <v>0</v>
      </c>
      <c r="C838" s="59" t="str">
        <f t="shared" si="40"/>
        <v>Nariño</v>
      </c>
      <c r="D838" s="59" t="str">
        <f t="shared" si="41"/>
        <v>Roberto Payán, Nariño</v>
      </c>
      <c r="E838" s="55">
        <v>52621</v>
      </c>
      <c r="F838" s="56">
        <v>0.45</v>
      </c>
      <c r="G838" s="56">
        <v>0.4</v>
      </c>
      <c r="H838" s="56" t="s">
        <v>39</v>
      </c>
      <c r="I838" s="56">
        <v>0.16</v>
      </c>
      <c r="J838" s="57">
        <v>0.08</v>
      </c>
    </row>
    <row r="839" spans="1:10" ht="17.25" thickBot="1" x14ac:dyDescent="0.35">
      <c r="A839" s="58" t="s">
        <v>827</v>
      </c>
      <c r="B839" s="59">
        <f t="shared" si="39"/>
        <v>0</v>
      </c>
      <c r="C839" s="59" t="str">
        <f t="shared" si="40"/>
        <v>Nariño</v>
      </c>
      <c r="D839" s="59" t="str">
        <f t="shared" si="41"/>
        <v>Samaniego, Nariño</v>
      </c>
      <c r="E839" s="55">
        <v>52678</v>
      </c>
      <c r="F839" s="56">
        <v>0.3</v>
      </c>
      <c r="G839" s="56">
        <v>0.3</v>
      </c>
      <c r="H839" s="56" t="s">
        <v>39</v>
      </c>
      <c r="I839" s="56">
        <v>0.13</v>
      </c>
      <c r="J839" s="57">
        <v>0.08</v>
      </c>
    </row>
    <row r="840" spans="1:10" ht="17.25" thickBot="1" x14ac:dyDescent="0.35">
      <c r="A840" s="58" t="s">
        <v>630</v>
      </c>
      <c r="B840" s="59">
        <f t="shared" si="39"/>
        <v>0</v>
      </c>
      <c r="C840" s="59" t="str">
        <f t="shared" si="40"/>
        <v>Nariño</v>
      </c>
      <c r="D840" s="59" t="str">
        <f t="shared" si="41"/>
        <v>San Bernardo, Nariño</v>
      </c>
      <c r="E840" s="55">
        <v>52685</v>
      </c>
      <c r="F840" s="56">
        <v>0.25</v>
      </c>
      <c r="G840" s="56">
        <v>0.25</v>
      </c>
      <c r="H840" s="56" t="s">
        <v>39</v>
      </c>
      <c r="I840" s="56">
        <v>0.16</v>
      </c>
      <c r="J840" s="57">
        <v>0.08</v>
      </c>
    </row>
    <row r="841" spans="1:10" ht="17.25" thickBot="1" x14ac:dyDescent="0.35">
      <c r="A841" s="58" t="s">
        <v>828</v>
      </c>
      <c r="B841" s="59">
        <f t="shared" si="39"/>
        <v>0</v>
      </c>
      <c r="C841" s="59" t="str">
        <f t="shared" si="40"/>
        <v>Nariño</v>
      </c>
      <c r="D841" s="59" t="str">
        <f t="shared" si="41"/>
        <v>San Lorenzo, Nariño</v>
      </c>
      <c r="E841" s="55">
        <v>52687</v>
      </c>
      <c r="F841" s="56">
        <v>0.25</v>
      </c>
      <c r="G841" s="56">
        <v>0.25</v>
      </c>
      <c r="H841" s="56" t="s">
        <v>39</v>
      </c>
      <c r="I841" s="56">
        <v>0.11</v>
      </c>
      <c r="J841" s="57">
        <v>7.0000000000000007E-2</v>
      </c>
    </row>
    <row r="842" spans="1:10" ht="17.25" thickBot="1" x14ac:dyDescent="0.35">
      <c r="A842" s="58" t="s">
        <v>245</v>
      </c>
      <c r="B842" s="59">
        <f t="shared" si="39"/>
        <v>0</v>
      </c>
      <c r="C842" s="59" t="str">
        <f t="shared" si="40"/>
        <v>Nariño</v>
      </c>
      <c r="D842" s="59" t="str">
        <f t="shared" si="41"/>
        <v>San Pablo, Nariño</v>
      </c>
      <c r="E842" s="55">
        <v>52693</v>
      </c>
      <c r="F842" s="56">
        <v>0.25</v>
      </c>
      <c r="G842" s="56">
        <v>0.25</v>
      </c>
      <c r="H842" s="56" t="s">
        <v>39</v>
      </c>
      <c r="I842" s="56">
        <v>0.16</v>
      </c>
      <c r="J842" s="57">
        <v>0.08</v>
      </c>
    </row>
    <row r="843" spans="1:10" ht="17.25" thickBot="1" x14ac:dyDescent="0.35">
      <c r="A843" s="58" t="s">
        <v>829</v>
      </c>
      <c r="B843" s="59">
        <f t="shared" si="39"/>
        <v>0</v>
      </c>
      <c r="C843" s="59" t="str">
        <f t="shared" si="40"/>
        <v>Nariño</v>
      </c>
      <c r="D843" s="59" t="str">
        <f t="shared" si="41"/>
        <v>San Pedro De Cartago, Nariño</v>
      </c>
      <c r="E843" s="55">
        <v>52694</v>
      </c>
      <c r="F843" s="56">
        <v>0.25</v>
      </c>
      <c r="G843" s="56">
        <v>0.25</v>
      </c>
      <c r="H843" s="56" t="s">
        <v>39</v>
      </c>
      <c r="I843" s="56">
        <v>0.15</v>
      </c>
      <c r="J843" s="57">
        <v>0.08</v>
      </c>
    </row>
    <row r="844" spans="1:10" ht="17.25" thickBot="1" x14ac:dyDescent="0.35">
      <c r="A844" s="58" t="s">
        <v>830</v>
      </c>
      <c r="B844" s="59">
        <f t="shared" si="39"/>
        <v>0</v>
      </c>
      <c r="C844" s="59" t="str">
        <f t="shared" si="40"/>
        <v>Nariño</v>
      </c>
      <c r="D844" s="59" t="str">
        <f t="shared" si="41"/>
        <v>Sandoná, Nariño</v>
      </c>
      <c r="E844" s="55">
        <v>52683</v>
      </c>
      <c r="F844" s="56">
        <v>0.25</v>
      </c>
      <c r="G844" s="56">
        <v>0.25</v>
      </c>
      <c r="H844" s="56" t="s">
        <v>39</v>
      </c>
      <c r="I844" s="56">
        <v>0.13</v>
      </c>
      <c r="J844" s="57">
        <v>0.08</v>
      </c>
    </row>
    <row r="845" spans="1:10" ht="17.25" thickBot="1" x14ac:dyDescent="0.35">
      <c r="A845" s="58" t="s">
        <v>154</v>
      </c>
      <c r="B845" s="59">
        <f t="shared" si="39"/>
        <v>0</v>
      </c>
      <c r="C845" s="59" t="str">
        <f t="shared" si="40"/>
        <v>Nariño</v>
      </c>
      <c r="D845" s="59" t="str">
        <f t="shared" si="41"/>
        <v>Santa Bárbara, Nariño</v>
      </c>
      <c r="E845" s="55">
        <v>52696</v>
      </c>
      <c r="F845" s="56">
        <v>0.45</v>
      </c>
      <c r="G845" s="56">
        <v>0.35</v>
      </c>
      <c r="H845" s="56" t="s">
        <v>39</v>
      </c>
      <c r="I845" s="56">
        <v>0.16</v>
      </c>
      <c r="J845" s="57">
        <v>0.08</v>
      </c>
    </row>
    <row r="846" spans="1:10" ht="17.25" thickBot="1" x14ac:dyDescent="0.35">
      <c r="A846" s="58" t="s">
        <v>831</v>
      </c>
      <c r="B846" s="59">
        <f t="shared" si="39"/>
        <v>0</v>
      </c>
      <c r="C846" s="59" t="str">
        <f t="shared" si="40"/>
        <v>Nariño</v>
      </c>
      <c r="D846" s="59" t="str">
        <f t="shared" si="41"/>
        <v>Santacruz, Nariño</v>
      </c>
      <c r="E846" s="55">
        <v>52699</v>
      </c>
      <c r="F846" s="56">
        <v>0.3</v>
      </c>
      <c r="G846" s="56">
        <v>0.25</v>
      </c>
      <c r="H846" s="56" t="s">
        <v>39</v>
      </c>
      <c r="I846" s="56">
        <v>0.16</v>
      </c>
      <c r="J846" s="57">
        <v>0.08</v>
      </c>
    </row>
    <row r="847" spans="1:10" ht="17.25" thickBot="1" x14ac:dyDescent="0.35">
      <c r="A847" s="58" t="s">
        <v>832</v>
      </c>
      <c r="B847" s="59">
        <f t="shared" si="39"/>
        <v>0</v>
      </c>
      <c r="C847" s="59" t="str">
        <f t="shared" si="40"/>
        <v>Nariño</v>
      </c>
      <c r="D847" s="59" t="str">
        <f t="shared" si="41"/>
        <v>Sapuyés, Nariño</v>
      </c>
      <c r="E847" s="55">
        <v>52720</v>
      </c>
      <c r="F847" s="56">
        <v>0.25</v>
      </c>
      <c r="G847" s="56">
        <v>0.25</v>
      </c>
      <c r="H847" s="56" t="s">
        <v>39</v>
      </c>
      <c r="I847" s="56">
        <v>0.16</v>
      </c>
      <c r="J847" s="57">
        <v>0.08</v>
      </c>
    </row>
    <row r="848" spans="1:10" ht="17.25" thickBot="1" x14ac:dyDescent="0.35">
      <c r="A848" s="58" t="s">
        <v>833</v>
      </c>
      <c r="B848" s="59">
        <f t="shared" si="39"/>
        <v>0</v>
      </c>
      <c r="C848" s="59" t="str">
        <f t="shared" si="40"/>
        <v>Nariño</v>
      </c>
      <c r="D848" s="59" t="str">
        <f t="shared" si="41"/>
        <v>Taminango, Nariño</v>
      </c>
      <c r="E848" s="55">
        <v>52786</v>
      </c>
      <c r="F848" s="56">
        <v>0.25</v>
      </c>
      <c r="G848" s="56">
        <v>0.25</v>
      </c>
      <c r="H848" s="56" t="s">
        <v>39</v>
      </c>
      <c r="I848" s="56">
        <v>0.15</v>
      </c>
      <c r="J848" s="57">
        <v>0.08</v>
      </c>
    </row>
    <row r="849" spans="1:10" ht="17.25" thickBot="1" x14ac:dyDescent="0.35">
      <c r="A849" s="58" t="s">
        <v>834</v>
      </c>
      <c r="B849" s="59">
        <f t="shared" si="39"/>
        <v>0</v>
      </c>
      <c r="C849" s="59" t="str">
        <f t="shared" si="40"/>
        <v>Nariño</v>
      </c>
      <c r="D849" s="59" t="str">
        <f t="shared" si="41"/>
        <v>Tangua, Nariño</v>
      </c>
      <c r="E849" s="55">
        <v>52788</v>
      </c>
      <c r="F849" s="56">
        <v>0.25</v>
      </c>
      <c r="G849" s="56">
        <v>0.25</v>
      </c>
      <c r="H849" s="56" t="s">
        <v>39</v>
      </c>
      <c r="I849" s="56">
        <v>0.13</v>
      </c>
      <c r="J849" s="57">
        <v>0.08</v>
      </c>
    </row>
    <row r="850" spans="1:10" ht="17.25" thickBot="1" x14ac:dyDescent="0.35">
      <c r="A850" s="58" t="s">
        <v>835</v>
      </c>
      <c r="B850" s="59">
        <f t="shared" si="39"/>
        <v>0</v>
      </c>
      <c r="C850" s="59" t="str">
        <f t="shared" si="40"/>
        <v>Nariño</v>
      </c>
      <c r="D850" s="59" t="str">
        <f t="shared" si="41"/>
        <v>Tumaco, Nariño</v>
      </c>
      <c r="E850" s="55">
        <v>52835</v>
      </c>
      <c r="F850" s="56">
        <v>0.45</v>
      </c>
      <c r="G850" s="56">
        <v>0.4</v>
      </c>
      <c r="H850" s="56" t="s">
        <v>39</v>
      </c>
      <c r="I850" s="56">
        <v>0.16</v>
      </c>
      <c r="J850" s="57">
        <v>0.08</v>
      </c>
    </row>
    <row r="851" spans="1:10" ht="17.25" thickBot="1" x14ac:dyDescent="0.35">
      <c r="A851" s="58" t="s">
        <v>836</v>
      </c>
      <c r="B851" s="59">
        <f t="shared" si="39"/>
        <v>0</v>
      </c>
      <c r="C851" s="59" t="str">
        <f t="shared" si="40"/>
        <v>Nariño</v>
      </c>
      <c r="D851" s="59" t="str">
        <f t="shared" si="41"/>
        <v>Túquerres, Nariño</v>
      </c>
      <c r="E851" s="55">
        <v>52838</v>
      </c>
      <c r="F851" s="56">
        <v>0.25</v>
      </c>
      <c r="G851" s="56">
        <v>0.25</v>
      </c>
      <c r="H851" s="56" t="s">
        <v>39</v>
      </c>
      <c r="I851" s="56">
        <v>0.16</v>
      </c>
      <c r="J851" s="57">
        <v>0.08</v>
      </c>
    </row>
    <row r="852" spans="1:10" ht="17.25" thickBot="1" x14ac:dyDescent="0.35">
      <c r="A852" s="58" t="s">
        <v>837</v>
      </c>
      <c r="B852" s="59">
        <f t="shared" si="39"/>
        <v>0</v>
      </c>
      <c r="C852" s="59" t="str">
        <f t="shared" si="40"/>
        <v>Nariño</v>
      </c>
      <c r="D852" s="59" t="str">
        <f t="shared" si="41"/>
        <v>Yacuanquer, Nariño</v>
      </c>
      <c r="E852" s="55">
        <v>52885</v>
      </c>
      <c r="F852" s="56">
        <v>0.25</v>
      </c>
      <c r="G852" s="56">
        <v>0.25</v>
      </c>
      <c r="H852" s="56" t="s">
        <v>39</v>
      </c>
      <c r="I852" s="56">
        <v>0.11</v>
      </c>
      <c r="J852" s="57">
        <v>7.0000000000000007E-2</v>
      </c>
    </row>
    <row r="853" spans="1:10" ht="17.25" thickBot="1" x14ac:dyDescent="0.35">
      <c r="A853" s="43" t="s">
        <v>838</v>
      </c>
      <c r="B853" s="44">
        <f t="shared" si="39"/>
        <v>1</v>
      </c>
      <c r="C853" s="44" t="str">
        <f t="shared" si="40"/>
        <v>Norte De Santander</v>
      </c>
      <c r="D853" s="44" t="str">
        <f t="shared" si="41"/>
        <v/>
      </c>
      <c r="E853" s="45"/>
      <c r="F853" s="46"/>
      <c r="G853" s="46"/>
      <c r="H853" s="46"/>
      <c r="I853" s="46"/>
      <c r="J853" s="47"/>
    </row>
    <row r="854" spans="1:10" ht="17.25" thickBot="1" x14ac:dyDescent="0.35">
      <c r="A854" s="53" t="s">
        <v>839</v>
      </c>
      <c r="B854" s="54">
        <f t="shared" si="39"/>
        <v>0</v>
      </c>
      <c r="C854" s="54" t="str">
        <f t="shared" si="40"/>
        <v>Norte De Santander</v>
      </c>
      <c r="D854" s="54" t="str">
        <f t="shared" si="41"/>
        <v>Cúcuta, Norte De Santander</v>
      </c>
      <c r="E854" s="55">
        <v>54001</v>
      </c>
      <c r="F854" s="56">
        <v>0.35</v>
      </c>
      <c r="G854" s="56">
        <v>0.3</v>
      </c>
      <c r="H854" s="56" t="s">
        <v>39</v>
      </c>
      <c r="I854" s="56">
        <v>0.25</v>
      </c>
      <c r="J854" s="57">
        <v>0.1</v>
      </c>
    </row>
    <row r="855" spans="1:10" ht="17.25" thickBot="1" x14ac:dyDescent="0.35">
      <c r="A855" s="58" t="s">
        <v>840</v>
      </c>
      <c r="B855" s="59">
        <f t="shared" si="39"/>
        <v>0</v>
      </c>
      <c r="C855" s="59" t="str">
        <f t="shared" si="40"/>
        <v>Norte De Santander</v>
      </c>
      <c r="D855" s="59" t="str">
        <f t="shared" si="41"/>
        <v>Abrego, Norte De Santander</v>
      </c>
      <c r="E855" s="55">
        <v>54003</v>
      </c>
      <c r="F855" s="56">
        <v>0.25</v>
      </c>
      <c r="G855" s="56">
        <v>0.2</v>
      </c>
      <c r="H855" s="56" t="s">
        <v>39</v>
      </c>
      <c r="I855" s="56">
        <v>7.0000000000000007E-2</v>
      </c>
      <c r="J855" s="57">
        <v>0.04</v>
      </c>
    </row>
    <row r="856" spans="1:10" ht="17.25" thickBot="1" x14ac:dyDescent="0.35">
      <c r="A856" s="58" t="s">
        <v>841</v>
      </c>
      <c r="B856" s="59">
        <f t="shared" si="39"/>
        <v>0</v>
      </c>
      <c r="C856" s="59" t="str">
        <f t="shared" si="40"/>
        <v>Norte De Santander</v>
      </c>
      <c r="D856" s="59" t="str">
        <f t="shared" si="41"/>
        <v>Arboledas, Norte De Santander</v>
      </c>
      <c r="E856" s="55">
        <v>54051</v>
      </c>
      <c r="F856" s="56">
        <v>0.3</v>
      </c>
      <c r="G856" s="56">
        <v>0.25</v>
      </c>
      <c r="H856" s="56" t="s">
        <v>39</v>
      </c>
      <c r="I856" s="56">
        <v>0.08</v>
      </c>
      <c r="J856" s="57">
        <v>0.04</v>
      </c>
    </row>
    <row r="857" spans="1:10" ht="17.25" thickBot="1" x14ac:dyDescent="0.35">
      <c r="A857" s="58" t="s">
        <v>842</v>
      </c>
      <c r="B857" s="59">
        <f t="shared" si="39"/>
        <v>0</v>
      </c>
      <c r="C857" s="59" t="str">
        <f t="shared" si="40"/>
        <v>Norte De Santander</v>
      </c>
      <c r="D857" s="59" t="str">
        <f t="shared" si="41"/>
        <v>Bochalema, Norte De Santander</v>
      </c>
      <c r="E857" s="55">
        <v>54099</v>
      </c>
      <c r="F857" s="56">
        <v>0.35</v>
      </c>
      <c r="G857" s="56">
        <v>0.25</v>
      </c>
      <c r="H857" s="56" t="s">
        <v>39</v>
      </c>
      <c r="I857" s="56">
        <v>0.13</v>
      </c>
      <c r="J857" s="57">
        <v>0.06</v>
      </c>
    </row>
    <row r="858" spans="1:10" ht="17.25" thickBot="1" x14ac:dyDescent="0.35">
      <c r="A858" s="58" t="s">
        <v>843</v>
      </c>
      <c r="B858" s="59">
        <f t="shared" si="39"/>
        <v>0</v>
      </c>
      <c r="C858" s="59" t="str">
        <f t="shared" si="40"/>
        <v>Norte De Santander</v>
      </c>
      <c r="D858" s="59" t="str">
        <f t="shared" si="41"/>
        <v>Bucarasica, Norte De Santander</v>
      </c>
      <c r="E858" s="55">
        <v>54109</v>
      </c>
      <c r="F858" s="56">
        <v>0.3</v>
      </c>
      <c r="G858" s="56">
        <v>0.25</v>
      </c>
      <c r="H858" s="56" t="s">
        <v>39</v>
      </c>
      <c r="I858" s="56">
        <v>0.09</v>
      </c>
      <c r="J858" s="57">
        <v>0.04</v>
      </c>
    </row>
    <row r="859" spans="1:10" ht="17.25" thickBot="1" x14ac:dyDescent="0.35">
      <c r="A859" s="58" t="s">
        <v>844</v>
      </c>
      <c r="B859" s="59">
        <f t="shared" si="39"/>
        <v>0</v>
      </c>
      <c r="C859" s="59" t="str">
        <f t="shared" si="40"/>
        <v>Norte De Santander</v>
      </c>
      <c r="D859" s="59" t="str">
        <f t="shared" si="41"/>
        <v>Cáchira, Norte De Santander</v>
      </c>
      <c r="E859" s="55">
        <v>54128</v>
      </c>
      <c r="F859" s="56">
        <v>0.25</v>
      </c>
      <c r="G859" s="56">
        <v>0.25</v>
      </c>
      <c r="H859" s="56" t="s">
        <v>39</v>
      </c>
      <c r="I859" s="56">
        <v>7.0000000000000007E-2</v>
      </c>
      <c r="J859" s="57">
        <v>0.04</v>
      </c>
    </row>
    <row r="860" spans="1:10" ht="17.25" thickBot="1" x14ac:dyDescent="0.35">
      <c r="A860" s="58" t="s">
        <v>845</v>
      </c>
      <c r="B860" s="59">
        <f t="shared" si="39"/>
        <v>0</v>
      </c>
      <c r="C860" s="59" t="str">
        <f t="shared" si="40"/>
        <v>Norte De Santander</v>
      </c>
      <c r="D860" s="59" t="str">
        <f t="shared" si="41"/>
        <v>Cácota, Norte De Santander</v>
      </c>
      <c r="E860" s="55">
        <v>54125</v>
      </c>
      <c r="F860" s="56">
        <v>0.3</v>
      </c>
      <c r="G860" s="56">
        <v>0.25</v>
      </c>
      <c r="H860" s="56" t="s">
        <v>39</v>
      </c>
      <c r="I860" s="56">
        <v>0.1</v>
      </c>
      <c r="J860" s="57">
        <v>0.05</v>
      </c>
    </row>
    <row r="861" spans="1:10" ht="17.25" thickBot="1" x14ac:dyDescent="0.35">
      <c r="A861" s="58" t="s">
        <v>846</v>
      </c>
      <c r="B861" s="59">
        <f t="shared" si="39"/>
        <v>0</v>
      </c>
      <c r="C861" s="59" t="str">
        <f t="shared" si="40"/>
        <v>Norte De Santander</v>
      </c>
      <c r="D861" s="59" t="str">
        <f t="shared" si="41"/>
        <v>Chinácota, Norte De Santander</v>
      </c>
      <c r="E861" s="55">
        <v>54172</v>
      </c>
      <c r="F861" s="56">
        <v>0.35</v>
      </c>
      <c r="G861" s="56">
        <v>0.3</v>
      </c>
      <c r="H861" s="56" t="s">
        <v>39</v>
      </c>
      <c r="I861" s="56">
        <v>0.16</v>
      </c>
      <c r="J861" s="57">
        <v>7.0000000000000007E-2</v>
      </c>
    </row>
    <row r="862" spans="1:10" ht="17.25" thickBot="1" x14ac:dyDescent="0.35">
      <c r="A862" s="58" t="s">
        <v>847</v>
      </c>
      <c r="B862" s="59">
        <f t="shared" si="39"/>
        <v>0</v>
      </c>
      <c r="C862" s="59" t="str">
        <f t="shared" si="40"/>
        <v>Norte De Santander</v>
      </c>
      <c r="D862" s="59" t="str">
        <f t="shared" si="41"/>
        <v>Chitagá, Norte De Santander</v>
      </c>
      <c r="E862" s="55">
        <v>54174</v>
      </c>
      <c r="F862" s="56">
        <v>0.3</v>
      </c>
      <c r="G862" s="56">
        <v>0.3</v>
      </c>
      <c r="H862" s="56" t="s">
        <v>39</v>
      </c>
      <c r="I862" s="56">
        <v>0.11</v>
      </c>
      <c r="J862" s="57">
        <v>0.05</v>
      </c>
    </row>
    <row r="863" spans="1:10" ht="17.25" thickBot="1" x14ac:dyDescent="0.35">
      <c r="A863" s="58" t="s">
        <v>848</v>
      </c>
      <c r="B863" s="59">
        <f t="shared" si="39"/>
        <v>0</v>
      </c>
      <c r="C863" s="59" t="str">
        <f t="shared" si="40"/>
        <v>Norte De Santander</v>
      </c>
      <c r="D863" s="59" t="str">
        <f t="shared" si="41"/>
        <v>Convención, Norte De Santander</v>
      </c>
      <c r="E863" s="55">
        <v>54206</v>
      </c>
      <c r="F863" s="56">
        <v>0.2</v>
      </c>
      <c r="G863" s="56">
        <v>0.15</v>
      </c>
      <c r="H863" s="56" t="s">
        <v>36</v>
      </c>
      <c r="I863" s="56">
        <v>0.04</v>
      </c>
      <c r="J863" s="57">
        <v>0.02</v>
      </c>
    </row>
    <row r="864" spans="1:10" ht="17.25" thickBot="1" x14ac:dyDescent="0.35">
      <c r="A864" s="58" t="s">
        <v>849</v>
      </c>
      <c r="B864" s="59">
        <f t="shared" si="39"/>
        <v>0</v>
      </c>
      <c r="C864" s="59" t="str">
        <f t="shared" si="40"/>
        <v>Norte De Santander</v>
      </c>
      <c r="D864" s="59" t="str">
        <f t="shared" si="41"/>
        <v>Cucutilla, Norte De Santander</v>
      </c>
      <c r="E864" s="55">
        <v>54223</v>
      </c>
      <c r="F864" s="56">
        <v>0.3</v>
      </c>
      <c r="G864" s="56">
        <v>0.25</v>
      </c>
      <c r="H864" s="56" t="s">
        <v>39</v>
      </c>
      <c r="I864" s="56">
        <v>0.08</v>
      </c>
      <c r="J864" s="57">
        <v>0.04</v>
      </c>
    </row>
    <row r="865" spans="1:10" ht="17.25" thickBot="1" x14ac:dyDescent="0.35">
      <c r="A865" s="58" t="s">
        <v>850</v>
      </c>
      <c r="B865" s="59">
        <f t="shared" si="39"/>
        <v>0</v>
      </c>
      <c r="C865" s="59" t="str">
        <f t="shared" si="40"/>
        <v>Norte De Santander</v>
      </c>
      <c r="D865" s="59" t="str">
        <f t="shared" si="41"/>
        <v>Durania, Norte De Santander</v>
      </c>
      <c r="E865" s="55">
        <v>54239</v>
      </c>
      <c r="F865" s="56">
        <v>0.35</v>
      </c>
      <c r="G865" s="56">
        <v>0.25</v>
      </c>
      <c r="H865" s="56" t="s">
        <v>39</v>
      </c>
      <c r="I865" s="56">
        <v>0.14000000000000001</v>
      </c>
      <c r="J865" s="57">
        <v>0.06</v>
      </c>
    </row>
    <row r="866" spans="1:10" ht="17.25" thickBot="1" x14ac:dyDescent="0.35">
      <c r="A866" s="58" t="s">
        <v>851</v>
      </c>
      <c r="B866" s="59">
        <f t="shared" si="39"/>
        <v>0</v>
      </c>
      <c r="C866" s="59" t="str">
        <f t="shared" si="40"/>
        <v>Norte De Santander</v>
      </c>
      <c r="D866" s="59" t="str">
        <f t="shared" si="41"/>
        <v>El Carmen, Norte De Santander</v>
      </c>
      <c r="E866" s="55">
        <v>54245</v>
      </c>
      <c r="F866" s="56">
        <v>0.15</v>
      </c>
      <c r="G866" s="56">
        <v>0.1</v>
      </c>
      <c r="H866" s="56" t="s">
        <v>36</v>
      </c>
      <c r="I866" s="56">
        <v>0.04</v>
      </c>
      <c r="J866" s="57">
        <v>0.02</v>
      </c>
    </row>
    <row r="867" spans="1:10" ht="17.25" thickBot="1" x14ac:dyDescent="0.35">
      <c r="A867" s="58" t="s">
        <v>852</v>
      </c>
      <c r="B867" s="59">
        <f t="shared" si="39"/>
        <v>0</v>
      </c>
      <c r="C867" s="59" t="str">
        <f t="shared" si="40"/>
        <v>Norte De Santander</v>
      </c>
      <c r="D867" s="59" t="str">
        <f t="shared" si="41"/>
        <v>El Tarra, Norte De Santander</v>
      </c>
      <c r="E867" s="55">
        <v>54250</v>
      </c>
      <c r="F867" s="56">
        <v>0.2</v>
      </c>
      <c r="G867" s="56">
        <v>0.15</v>
      </c>
      <c r="H867" s="56" t="s">
        <v>36</v>
      </c>
      <c r="I867" s="56">
        <v>0.05</v>
      </c>
      <c r="J867" s="57">
        <v>0.03</v>
      </c>
    </row>
    <row r="868" spans="1:10" ht="17.25" thickBot="1" x14ac:dyDescent="0.35">
      <c r="A868" s="58" t="s">
        <v>853</v>
      </c>
      <c r="B868" s="59">
        <f t="shared" si="39"/>
        <v>0</v>
      </c>
      <c r="C868" s="59" t="str">
        <f t="shared" si="40"/>
        <v>Norte De Santander</v>
      </c>
      <c r="D868" s="59" t="str">
        <f t="shared" si="41"/>
        <v>El Zulia, Norte De Santander</v>
      </c>
      <c r="E868" s="55">
        <v>54261</v>
      </c>
      <c r="F868" s="56">
        <v>0.35</v>
      </c>
      <c r="G868" s="56">
        <v>0.25</v>
      </c>
      <c r="H868" s="56" t="s">
        <v>39</v>
      </c>
      <c r="I868" s="56">
        <v>0.22</v>
      </c>
      <c r="J868" s="57">
        <v>0.09</v>
      </c>
    </row>
    <row r="869" spans="1:10" ht="17.25" thickBot="1" x14ac:dyDescent="0.35">
      <c r="A869" s="58" t="s">
        <v>854</v>
      </c>
      <c r="B869" s="59">
        <f t="shared" si="39"/>
        <v>0</v>
      </c>
      <c r="C869" s="59" t="str">
        <f t="shared" si="40"/>
        <v>Norte De Santander</v>
      </c>
      <c r="D869" s="59" t="str">
        <f t="shared" si="41"/>
        <v>Gramalote, Norte De Santander</v>
      </c>
      <c r="E869" s="55">
        <v>54313</v>
      </c>
      <c r="F869" s="56">
        <v>0.3</v>
      </c>
      <c r="G869" s="56">
        <v>0.25</v>
      </c>
      <c r="H869" s="56" t="s">
        <v>39</v>
      </c>
      <c r="I869" s="56">
        <v>0.11</v>
      </c>
      <c r="J869" s="57">
        <v>0.05</v>
      </c>
    </row>
    <row r="870" spans="1:10" ht="17.25" thickBot="1" x14ac:dyDescent="0.35">
      <c r="A870" s="58" t="s">
        <v>855</v>
      </c>
      <c r="B870" s="59">
        <f t="shared" si="39"/>
        <v>0</v>
      </c>
      <c r="C870" s="59" t="str">
        <f t="shared" si="40"/>
        <v>Norte De Santander</v>
      </c>
      <c r="D870" s="59" t="str">
        <f t="shared" si="41"/>
        <v>Hacarí, Norte De Santander</v>
      </c>
      <c r="E870" s="55">
        <v>54344</v>
      </c>
      <c r="F870" s="56">
        <v>0.25</v>
      </c>
      <c r="G870" s="56">
        <v>0.2</v>
      </c>
      <c r="H870" s="56" t="s">
        <v>39</v>
      </c>
      <c r="I870" s="56">
        <v>0.06</v>
      </c>
      <c r="J870" s="57">
        <v>0.03</v>
      </c>
    </row>
    <row r="871" spans="1:10" ht="17.25" thickBot="1" x14ac:dyDescent="0.35">
      <c r="A871" s="58" t="s">
        <v>856</v>
      </c>
      <c r="B871" s="59">
        <f t="shared" si="39"/>
        <v>0</v>
      </c>
      <c r="C871" s="59" t="str">
        <f t="shared" si="40"/>
        <v>Norte De Santander</v>
      </c>
      <c r="D871" s="59" t="str">
        <f t="shared" si="41"/>
        <v>Herrán, Norte De Santander</v>
      </c>
      <c r="E871" s="55">
        <v>54347</v>
      </c>
      <c r="F871" s="56">
        <v>0.35</v>
      </c>
      <c r="G871" s="56">
        <v>0.3</v>
      </c>
      <c r="H871" s="56" t="s">
        <v>39</v>
      </c>
      <c r="I871" s="56">
        <v>0.19</v>
      </c>
      <c r="J871" s="57">
        <v>0.08</v>
      </c>
    </row>
    <row r="872" spans="1:10" ht="17.25" thickBot="1" x14ac:dyDescent="0.35">
      <c r="A872" s="58" t="s">
        <v>857</v>
      </c>
      <c r="B872" s="59">
        <f t="shared" si="39"/>
        <v>0</v>
      </c>
      <c r="C872" s="59" t="str">
        <f t="shared" si="40"/>
        <v>Norte De Santander</v>
      </c>
      <c r="D872" s="59" t="str">
        <f t="shared" si="41"/>
        <v>La Esperanza, Norte De Santander</v>
      </c>
      <c r="E872" s="55">
        <v>54385</v>
      </c>
      <c r="F872" s="56">
        <v>0.2</v>
      </c>
      <c r="G872" s="56">
        <v>0.2</v>
      </c>
      <c r="H872" s="56" t="s">
        <v>36</v>
      </c>
      <c r="I872" s="56">
        <v>0.05</v>
      </c>
      <c r="J872" s="57">
        <v>0.03</v>
      </c>
    </row>
    <row r="873" spans="1:10" ht="17.25" thickBot="1" x14ac:dyDescent="0.35">
      <c r="A873" s="58" t="s">
        <v>858</v>
      </c>
      <c r="B873" s="59">
        <f t="shared" si="39"/>
        <v>0</v>
      </c>
      <c r="C873" s="59" t="str">
        <f t="shared" si="40"/>
        <v>Norte De Santander</v>
      </c>
      <c r="D873" s="59" t="str">
        <f t="shared" si="41"/>
        <v>La Playa, Norte De Santander</v>
      </c>
      <c r="E873" s="55">
        <v>54398</v>
      </c>
      <c r="F873" s="56">
        <v>0.2</v>
      </c>
      <c r="G873" s="56">
        <v>0.15</v>
      </c>
      <c r="H873" s="56" t="s">
        <v>36</v>
      </c>
      <c r="I873" s="56">
        <v>0.06</v>
      </c>
      <c r="J873" s="57">
        <v>0.03</v>
      </c>
    </row>
    <row r="874" spans="1:10" ht="17.25" thickBot="1" x14ac:dyDescent="0.35">
      <c r="A874" s="58" t="s">
        <v>859</v>
      </c>
      <c r="B874" s="59">
        <f t="shared" si="39"/>
        <v>0</v>
      </c>
      <c r="C874" s="59" t="str">
        <f t="shared" si="40"/>
        <v>Norte De Santander</v>
      </c>
      <c r="D874" s="59" t="str">
        <f t="shared" si="41"/>
        <v>Labateca, Norte De Santander</v>
      </c>
      <c r="E874" s="55">
        <v>54377</v>
      </c>
      <c r="F874" s="56">
        <v>0.35</v>
      </c>
      <c r="G874" s="56">
        <v>0.3</v>
      </c>
      <c r="H874" s="56" t="s">
        <v>39</v>
      </c>
      <c r="I874" s="56">
        <v>0.14000000000000001</v>
      </c>
      <c r="J874" s="57">
        <v>0.06</v>
      </c>
    </row>
    <row r="875" spans="1:10" ht="17.25" thickBot="1" x14ac:dyDescent="0.35">
      <c r="A875" s="58" t="s">
        <v>860</v>
      </c>
      <c r="B875" s="59">
        <f t="shared" si="39"/>
        <v>0</v>
      </c>
      <c r="C875" s="59" t="str">
        <f t="shared" si="40"/>
        <v>Norte De Santander</v>
      </c>
      <c r="D875" s="59" t="str">
        <f t="shared" si="41"/>
        <v>Los Patios, Norte De Santander</v>
      </c>
      <c r="E875" s="55">
        <v>54405</v>
      </c>
      <c r="F875" s="56">
        <v>0.35</v>
      </c>
      <c r="G875" s="56">
        <v>0.3</v>
      </c>
      <c r="H875" s="56" t="s">
        <v>39</v>
      </c>
      <c r="I875" s="56">
        <v>0.22</v>
      </c>
      <c r="J875" s="57">
        <v>0.09</v>
      </c>
    </row>
    <row r="876" spans="1:10" ht="17.25" thickBot="1" x14ac:dyDescent="0.35">
      <c r="A876" s="58" t="s">
        <v>861</v>
      </c>
      <c r="B876" s="59">
        <f t="shared" si="39"/>
        <v>0</v>
      </c>
      <c r="C876" s="59" t="str">
        <f t="shared" si="40"/>
        <v>Norte De Santander</v>
      </c>
      <c r="D876" s="59" t="str">
        <f t="shared" si="41"/>
        <v>Lourdes, Norte De Santander</v>
      </c>
      <c r="E876" s="55">
        <v>54418</v>
      </c>
      <c r="F876" s="56">
        <v>0.3</v>
      </c>
      <c r="G876" s="56">
        <v>0.25</v>
      </c>
      <c r="H876" s="56" t="s">
        <v>39</v>
      </c>
      <c r="I876" s="56">
        <v>0.11</v>
      </c>
      <c r="J876" s="57">
        <v>0.05</v>
      </c>
    </row>
    <row r="877" spans="1:10" ht="17.25" thickBot="1" x14ac:dyDescent="0.35">
      <c r="A877" s="58" t="s">
        <v>862</v>
      </c>
      <c r="B877" s="59">
        <f t="shared" si="39"/>
        <v>0</v>
      </c>
      <c r="C877" s="59" t="str">
        <f t="shared" si="40"/>
        <v>Norte De Santander</v>
      </c>
      <c r="D877" s="59" t="str">
        <f t="shared" si="41"/>
        <v>Mutiscua, Norte De Santander</v>
      </c>
      <c r="E877" s="55">
        <v>54480</v>
      </c>
      <c r="F877" s="56">
        <v>0.3</v>
      </c>
      <c r="G877" s="56">
        <v>0.25</v>
      </c>
      <c r="H877" s="56" t="s">
        <v>39</v>
      </c>
      <c r="I877" s="56">
        <v>0.08</v>
      </c>
      <c r="J877" s="57">
        <v>0.04</v>
      </c>
    </row>
    <row r="878" spans="1:10" ht="17.25" thickBot="1" x14ac:dyDescent="0.35">
      <c r="A878" s="58" t="s">
        <v>863</v>
      </c>
      <c r="B878" s="59">
        <f t="shared" si="39"/>
        <v>0</v>
      </c>
      <c r="C878" s="59" t="str">
        <f t="shared" si="40"/>
        <v>Norte De Santander</v>
      </c>
      <c r="D878" s="59" t="str">
        <f t="shared" si="41"/>
        <v>Ocaña, Norte De Santander</v>
      </c>
      <c r="E878" s="55">
        <v>54498</v>
      </c>
      <c r="F878" s="56">
        <v>0.2</v>
      </c>
      <c r="G878" s="56">
        <v>0.15</v>
      </c>
      <c r="H878" s="56" t="s">
        <v>36</v>
      </c>
      <c r="I878" s="56">
        <v>0.08</v>
      </c>
      <c r="J878" s="57">
        <v>0.03</v>
      </c>
    </row>
    <row r="879" spans="1:10" ht="17.25" thickBot="1" x14ac:dyDescent="0.35">
      <c r="A879" s="58" t="s">
        <v>864</v>
      </c>
      <c r="B879" s="59">
        <f t="shared" si="39"/>
        <v>0</v>
      </c>
      <c r="C879" s="59" t="str">
        <f t="shared" si="40"/>
        <v>Norte De Santander</v>
      </c>
      <c r="D879" s="59" t="str">
        <f t="shared" si="41"/>
        <v>Pamplona, Norte De Santander</v>
      </c>
      <c r="E879" s="55">
        <v>54518</v>
      </c>
      <c r="F879" s="56">
        <v>0.3</v>
      </c>
      <c r="G879" s="56">
        <v>0.25</v>
      </c>
      <c r="H879" s="56" t="s">
        <v>39</v>
      </c>
      <c r="I879" s="56">
        <v>0.1</v>
      </c>
      <c r="J879" s="57">
        <v>0.05</v>
      </c>
    </row>
    <row r="880" spans="1:10" ht="17.25" thickBot="1" x14ac:dyDescent="0.35">
      <c r="A880" s="58" t="s">
        <v>865</v>
      </c>
      <c r="B880" s="59">
        <f t="shared" si="39"/>
        <v>0</v>
      </c>
      <c r="C880" s="59" t="str">
        <f t="shared" si="40"/>
        <v>Norte De Santander</v>
      </c>
      <c r="D880" s="59" t="str">
        <f t="shared" si="41"/>
        <v>Pamplonita, Norte De Santander</v>
      </c>
      <c r="E880" s="55">
        <v>54520</v>
      </c>
      <c r="F880" s="56">
        <v>0.35</v>
      </c>
      <c r="G880" s="56">
        <v>0.25</v>
      </c>
      <c r="H880" s="56" t="s">
        <v>39</v>
      </c>
      <c r="I880" s="56">
        <v>0.13</v>
      </c>
      <c r="J880" s="57">
        <v>0.06</v>
      </c>
    </row>
    <row r="881" spans="1:10" ht="17.25" thickBot="1" x14ac:dyDescent="0.35">
      <c r="A881" s="58" t="s">
        <v>29</v>
      </c>
      <c r="B881" s="59">
        <f t="shared" si="39"/>
        <v>0</v>
      </c>
      <c r="C881" s="59" t="str">
        <f t="shared" si="40"/>
        <v>Norte De Santander</v>
      </c>
      <c r="D881" s="59" t="str">
        <f t="shared" si="41"/>
        <v>Puerto Santander, Norte De Santander</v>
      </c>
      <c r="E881" s="55">
        <v>54553</v>
      </c>
      <c r="F881" s="56">
        <v>0.35</v>
      </c>
      <c r="G881" s="56">
        <v>0.25</v>
      </c>
      <c r="H881" s="56" t="s">
        <v>39</v>
      </c>
      <c r="I881" s="56">
        <v>0.09</v>
      </c>
      <c r="J881" s="57">
        <v>0.04</v>
      </c>
    </row>
    <row r="882" spans="1:10" ht="17.25" thickBot="1" x14ac:dyDescent="0.35">
      <c r="A882" s="58" t="s">
        <v>866</v>
      </c>
      <c r="B882" s="59">
        <f t="shared" si="39"/>
        <v>0</v>
      </c>
      <c r="C882" s="59" t="str">
        <f t="shared" si="40"/>
        <v>Norte De Santander</v>
      </c>
      <c r="D882" s="59" t="str">
        <f t="shared" si="41"/>
        <v>Ragonvalia, Norte De Santander</v>
      </c>
      <c r="E882" s="55">
        <v>54599</v>
      </c>
      <c r="F882" s="56">
        <v>0.35</v>
      </c>
      <c r="G882" s="56">
        <v>0.3</v>
      </c>
      <c r="H882" s="56" t="s">
        <v>39</v>
      </c>
      <c r="I882" s="56">
        <v>0.2</v>
      </c>
      <c r="J882" s="57">
        <v>0.09</v>
      </c>
    </row>
    <row r="883" spans="1:10" ht="17.25" thickBot="1" x14ac:dyDescent="0.35">
      <c r="A883" s="58" t="s">
        <v>867</v>
      </c>
      <c r="B883" s="59">
        <f t="shared" si="39"/>
        <v>0</v>
      </c>
      <c r="C883" s="59" t="str">
        <f t="shared" si="40"/>
        <v>Norte De Santander</v>
      </c>
      <c r="D883" s="59" t="str">
        <f t="shared" si="41"/>
        <v>Salazar, Norte De Santander</v>
      </c>
      <c r="E883" s="55">
        <v>54660</v>
      </c>
      <c r="F883" s="56">
        <v>0.3</v>
      </c>
      <c r="G883" s="56">
        <v>0.25</v>
      </c>
      <c r="H883" s="56" t="s">
        <v>39</v>
      </c>
      <c r="I883" s="56">
        <v>0.09</v>
      </c>
      <c r="J883" s="57">
        <v>0.04</v>
      </c>
    </row>
    <row r="884" spans="1:10" ht="17.25" thickBot="1" x14ac:dyDescent="0.35">
      <c r="A884" s="58" t="s">
        <v>868</v>
      </c>
      <c r="B884" s="59">
        <f t="shared" si="39"/>
        <v>0</v>
      </c>
      <c r="C884" s="59" t="str">
        <f t="shared" si="40"/>
        <v>Norte De Santander</v>
      </c>
      <c r="D884" s="59" t="str">
        <f t="shared" si="41"/>
        <v>San Calixto, Norte De Santander</v>
      </c>
      <c r="E884" s="55">
        <v>54670</v>
      </c>
      <c r="F884" s="56">
        <v>0.2</v>
      </c>
      <c r="G884" s="56">
        <v>0.15</v>
      </c>
      <c r="H884" s="56" t="s">
        <v>36</v>
      </c>
      <c r="I884" s="56">
        <v>0.05</v>
      </c>
      <c r="J884" s="57">
        <v>0.03</v>
      </c>
    </row>
    <row r="885" spans="1:10" ht="17.25" thickBot="1" x14ac:dyDescent="0.35">
      <c r="A885" s="58" t="s">
        <v>631</v>
      </c>
      <c r="B885" s="59">
        <f t="shared" si="39"/>
        <v>0</v>
      </c>
      <c r="C885" s="59" t="str">
        <f t="shared" si="40"/>
        <v>Norte De Santander</v>
      </c>
      <c r="D885" s="59" t="str">
        <f t="shared" si="41"/>
        <v>San Cayetano, Norte De Santander</v>
      </c>
      <c r="E885" s="55">
        <v>54673</v>
      </c>
      <c r="F885" s="56">
        <v>0.35</v>
      </c>
      <c r="G885" s="56">
        <v>0.3</v>
      </c>
      <c r="H885" s="56" t="s">
        <v>39</v>
      </c>
      <c r="I885" s="56">
        <v>0.19</v>
      </c>
      <c r="J885" s="57">
        <v>0.08</v>
      </c>
    </row>
    <row r="886" spans="1:10" ht="17.25" thickBot="1" x14ac:dyDescent="0.35">
      <c r="A886" s="58" t="s">
        <v>869</v>
      </c>
      <c r="B886" s="59">
        <f t="shared" si="39"/>
        <v>0</v>
      </c>
      <c r="C886" s="59" t="str">
        <f t="shared" si="40"/>
        <v>Norte De Santander</v>
      </c>
      <c r="D886" s="59" t="str">
        <f t="shared" si="41"/>
        <v>Santiago, Norte De Santander</v>
      </c>
      <c r="E886" s="55">
        <v>54680</v>
      </c>
      <c r="F886" s="56">
        <v>0.3</v>
      </c>
      <c r="G886" s="56">
        <v>0.25</v>
      </c>
      <c r="H886" s="56" t="s">
        <v>39</v>
      </c>
      <c r="I886" s="56">
        <v>0.14000000000000001</v>
      </c>
      <c r="J886" s="57">
        <v>0.06</v>
      </c>
    </row>
    <row r="887" spans="1:10" ht="17.25" thickBot="1" x14ac:dyDescent="0.35">
      <c r="A887" s="58" t="s">
        <v>870</v>
      </c>
      <c r="B887" s="59">
        <f t="shared" si="39"/>
        <v>0</v>
      </c>
      <c r="C887" s="59" t="str">
        <f t="shared" si="40"/>
        <v>Norte De Santander</v>
      </c>
      <c r="D887" s="59" t="str">
        <f t="shared" si="41"/>
        <v>Sardinata, Norte De Santander</v>
      </c>
      <c r="E887" s="55">
        <v>54720</v>
      </c>
      <c r="F887" s="56">
        <v>0.3</v>
      </c>
      <c r="G887" s="56">
        <v>0.25</v>
      </c>
      <c r="H887" s="56" t="s">
        <v>39</v>
      </c>
      <c r="I887" s="56">
        <v>0.15</v>
      </c>
      <c r="J887" s="57">
        <v>0.06</v>
      </c>
    </row>
    <row r="888" spans="1:10" ht="17.25" thickBot="1" x14ac:dyDescent="0.35">
      <c r="A888" s="58" t="s">
        <v>871</v>
      </c>
      <c r="B888" s="59">
        <f t="shared" si="39"/>
        <v>0</v>
      </c>
      <c r="C888" s="59" t="str">
        <f t="shared" si="40"/>
        <v>Norte De Santander</v>
      </c>
      <c r="D888" s="59" t="str">
        <f t="shared" si="41"/>
        <v>Silos, Norte De Santander</v>
      </c>
      <c r="E888" s="55">
        <v>54743</v>
      </c>
      <c r="F888" s="56">
        <v>0.25</v>
      </c>
      <c r="G888" s="56">
        <v>0.25</v>
      </c>
      <c r="H888" s="56" t="s">
        <v>39</v>
      </c>
      <c r="I888" s="56">
        <v>7.0000000000000007E-2</v>
      </c>
      <c r="J888" s="57">
        <v>0.03</v>
      </c>
    </row>
    <row r="889" spans="1:10" ht="17.25" thickBot="1" x14ac:dyDescent="0.35">
      <c r="A889" s="58" t="s">
        <v>872</v>
      </c>
      <c r="B889" s="59">
        <f t="shared" si="39"/>
        <v>0</v>
      </c>
      <c r="C889" s="59" t="str">
        <f t="shared" si="40"/>
        <v>Norte De Santander</v>
      </c>
      <c r="D889" s="59" t="str">
        <f t="shared" si="41"/>
        <v>Teorama, Norte De Santander</v>
      </c>
      <c r="E889" s="55">
        <v>54800</v>
      </c>
      <c r="F889" s="56">
        <v>0.2</v>
      </c>
      <c r="G889" s="56">
        <v>0.15</v>
      </c>
      <c r="H889" s="56" t="s">
        <v>36</v>
      </c>
      <c r="I889" s="56">
        <v>0.04</v>
      </c>
      <c r="J889" s="57">
        <v>0.02</v>
      </c>
    </row>
    <row r="890" spans="1:10" ht="17.25" thickBot="1" x14ac:dyDescent="0.35">
      <c r="A890" s="58" t="s">
        <v>873</v>
      </c>
      <c r="B890" s="59">
        <f t="shared" si="39"/>
        <v>0</v>
      </c>
      <c r="C890" s="59" t="str">
        <f t="shared" si="40"/>
        <v>Norte De Santander</v>
      </c>
      <c r="D890" s="59" t="str">
        <f t="shared" si="41"/>
        <v>Tibú, Norte De Santander</v>
      </c>
      <c r="E890" s="55">
        <v>54810</v>
      </c>
      <c r="F890" s="56">
        <v>0.2</v>
      </c>
      <c r="G890" s="56">
        <v>0.2</v>
      </c>
      <c r="H890" s="56" t="s">
        <v>36</v>
      </c>
      <c r="I890" s="56">
        <v>0.11</v>
      </c>
      <c r="J890" s="57">
        <v>0.04</v>
      </c>
    </row>
    <row r="891" spans="1:10" ht="17.25" thickBot="1" x14ac:dyDescent="0.35">
      <c r="A891" s="58" t="s">
        <v>166</v>
      </c>
      <c r="B891" s="59">
        <f t="shared" si="39"/>
        <v>0</v>
      </c>
      <c r="C891" s="59" t="str">
        <f t="shared" si="40"/>
        <v>Norte De Santander</v>
      </c>
      <c r="D891" s="59" t="str">
        <f t="shared" si="41"/>
        <v>Toledo, Norte De Santander</v>
      </c>
      <c r="E891" s="55">
        <v>54820</v>
      </c>
      <c r="F891" s="56">
        <v>0.35</v>
      </c>
      <c r="G891" s="56">
        <v>0.3</v>
      </c>
      <c r="H891" s="56" t="s">
        <v>39</v>
      </c>
      <c r="I891" s="56">
        <v>0.24</v>
      </c>
      <c r="J891" s="57">
        <v>0.1</v>
      </c>
    </row>
    <row r="892" spans="1:10" ht="17.25" thickBot="1" x14ac:dyDescent="0.35">
      <c r="A892" s="58" t="s">
        <v>874</v>
      </c>
      <c r="B892" s="59">
        <f t="shared" si="39"/>
        <v>0</v>
      </c>
      <c r="C892" s="59" t="str">
        <f t="shared" si="40"/>
        <v>Norte De Santander</v>
      </c>
      <c r="D892" s="59" t="str">
        <f t="shared" si="41"/>
        <v>Villa Caro, Norte De Santander</v>
      </c>
      <c r="E892" s="55">
        <v>54871</v>
      </c>
      <c r="F892" s="56">
        <v>0.3</v>
      </c>
      <c r="G892" s="56">
        <v>0.25</v>
      </c>
      <c r="H892" s="56" t="s">
        <v>39</v>
      </c>
      <c r="I892" s="56">
        <v>7.0000000000000007E-2</v>
      </c>
      <c r="J892" s="57">
        <v>0.04</v>
      </c>
    </row>
    <row r="893" spans="1:10" ht="17.25" thickBot="1" x14ac:dyDescent="0.35">
      <c r="A893" s="58" t="s">
        <v>875</v>
      </c>
      <c r="B893" s="59">
        <f t="shared" si="39"/>
        <v>0</v>
      </c>
      <c r="C893" s="59" t="str">
        <f t="shared" si="40"/>
        <v>Norte De Santander</v>
      </c>
      <c r="D893" s="59" t="str">
        <f t="shared" si="41"/>
        <v>Villa del Rosario, Norte De Santander</v>
      </c>
      <c r="E893" s="55">
        <v>54874</v>
      </c>
      <c r="F893" s="56">
        <v>0.35</v>
      </c>
      <c r="G893" s="56">
        <v>0.3</v>
      </c>
      <c r="H893" s="56" t="s">
        <v>39</v>
      </c>
      <c r="I893" s="56">
        <v>0.25</v>
      </c>
      <c r="J893" s="57">
        <v>0.1</v>
      </c>
    </row>
    <row r="894" spans="1:10" ht="17.25" thickBot="1" x14ac:dyDescent="0.35">
      <c r="A894" s="43" t="s">
        <v>876</v>
      </c>
      <c r="B894" s="44">
        <f t="shared" si="39"/>
        <v>1</v>
      </c>
      <c r="C894" s="44" t="str">
        <f t="shared" si="40"/>
        <v>Putumayo</v>
      </c>
      <c r="D894" s="44" t="str">
        <f t="shared" si="41"/>
        <v/>
      </c>
      <c r="E894" s="45"/>
      <c r="F894" s="46"/>
      <c r="G894" s="46"/>
      <c r="H894" s="46"/>
      <c r="I894" s="46"/>
      <c r="J894" s="47"/>
    </row>
    <row r="895" spans="1:10" ht="17.25" thickBot="1" x14ac:dyDescent="0.35">
      <c r="A895" s="53" t="s">
        <v>877</v>
      </c>
      <c r="B895" s="54">
        <f t="shared" si="39"/>
        <v>0</v>
      </c>
      <c r="C895" s="54" t="str">
        <f t="shared" si="40"/>
        <v>Putumayo</v>
      </c>
      <c r="D895" s="54" t="str">
        <f t="shared" si="41"/>
        <v>Mocoa, Putumayo</v>
      </c>
      <c r="E895" s="55">
        <v>86001</v>
      </c>
      <c r="F895" s="56">
        <v>0.3</v>
      </c>
      <c r="G895" s="56">
        <v>0.25</v>
      </c>
      <c r="H895" s="56" t="s">
        <v>39</v>
      </c>
      <c r="I895" s="56">
        <v>0.2</v>
      </c>
      <c r="J895" s="57">
        <v>0.1</v>
      </c>
    </row>
    <row r="896" spans="1:10" ht="17.25" thickBot="1" x14ac:dyDescent="0.35">
      <c r="A896" s="58" t="s">
        <v>792</v>
      </c>
      <c r="B896" s="59">
        <f t="shared" si="39"/>
        <v>0</v>
      </c>
      <c r="C896" s="59" t="str">
        <f t="shared" si="40"/>
        <v>Putumayo</v>
      </c>
      <c r="D896" s="59" t="str">
        <f t="shared" si="41"/>
        <v>Colón, Putumayo</v>
      </c>
      <c r="E896" s="55">
        <v>86219</v>
      </c>
      <c r="F896" s="56">
        <v>0.25</v>
      </c>
      <c r="G896" s="56">
        <v>0.25</v>
      </c>
      <c r="H896" s="56" t="s">
        <v>39</v>
      </c>
      <c r="I896" s="56">
        <v>0.13</v>
      </c>
      <c r="J896" s="57">
        <v>0.08</v>
      </c>
    </row>
    <row r="897" spans="1:10" ht="17.25" thickBot="1" x14ac:dyDescent="0.35">
      <c r="A897" s="58" t="s">
        <v>878</v>
      </c>
      <c r="B897" s="59">
        <f t="shared" si="39"/>
        <v>0</v>
      </c>
      <c r="C897" s="59" t="str">
        <f t="shared" si="40"/>
        <v>Putumayo</v>
      </c>
      <c r="D897" s="59" t="str">
        <f t="shared" si="41"/>
        <v>Orito, Putumayo</v>
      </c>
      <c r="E897" s="55">
        <v>86320</v>
      </c>
      <c r="F897" s="56">
        <v>0.3</v>
      </c>
      <c r="G897" s="56">
        <v>0.25</v>
      </c>
      <c r="H897" s="56" t="s">
        <v>39</v>
      </c>
      <c r="I897" s="56">
        <v>0.08</v>
      </c>
      <c r="J897" s="57">
        <v>0.05</v>
      </c>
    </row>
    <row r="898" spans="1:10" ht="17.25" thickBot="1" x14ac:dyDescent="0.35">
      <c r="A898" s="58" t="s">
        <v>879</v>
      </c>
      <c r="B898" s="59">
        <f t="shared" si="39"/>
        <v>0</v>
      </c>
      <c r="C898" s="59" t="str">
        <f t="shared" si="40"/>
        <v>Putumayo</v>
      </c>
      <c r="D898" s="59" t="str">
        <f t="shared" si="41"/>
        <v>Puerto Asís, Putumayo</v>
      </c>
      <c r="E898" s="55">
        <v>86568</v>
      </c>
      <c r="F898" s="56">
        <v>0.05</v>
      </c>
      <c r="G898" s="56">
        <v>0.15</v>
      </c>
      <c r="H898" s="56" t="s">
        <v>36</v>
      </c>
      <c r="I898" s="56">
        <v>0.04</v>
      </c>
      <c r="J898" s="57">
        <v>0.02</v>
      </c>
    </row>
    <row r="899" spans="1:10" ht="17.25" thickBot="1" x14ac:dyDescent="0.35">
      <c r="A899" s="58" t="s">
        <v>880</v>
      </c>
      <c r="B899" s="59">
        <f t="shared" ref="B899:B962" si="42">IFERROR(FIND("Departamento",A899),0)</f>
        <v>0</v>
      </c>
      <c r="C899" s="59" t="str">
        <f t="shared" ref="C899:C962" si="43">IF(B899=1,IF(ISERROR(FIND("del",A899)),MID(A899,17,30),MID(A899,18,30)),C898)</f>
        <v>Putumayo</v>
      </c>
      <c r="D899" s="59" t="str">
        <f t="shared" ref="D899:D962" si="44">IF(B899=1,"",CONCATENATE(A899,", ",C899))</f>
        <v>Puerto Caicedo, Putumayo</v>
      </c>
      <c r="E899" s="55">
        <v>86569</v>
      </c>
      <c r="F899" s="56">
        <v>0.15</v>
      </c>
      <c r="G899" s="56">
        <v>0.2</v>
      </c>
      <c r="H899" s="56" t="s">
        <v>36</v>
      </c>
      <c r="I899" s="56">
        <v>0.04</v>
      </c>
      <c r="J899" s="57">
        <v>0.02</v>
      </c>
    </row>
    <row r="900" spans="1:10" ht="17.25" thickBot="1" x14ac:dyDescent="0.35">
      <c r="A900" s="58" t="s">
        <v>881</v>
      </c>
      <c r="B900" s="59">
        <f t="shared" si="42"/>
        <v>0</v>
      </c>
      <c r="C900" s="59" t="str">
        <f t="shared" si="43"/>
        <v>Putumayo</v>
      </c>
      <c r="D900" s="59" t="str">
        <f t="shared" si="44"/>
        <v>Puerto Guzmán, Putumayo</v>
      </c>
      <c r="E900" s="55">
        <v>86571</v>
      </c>
      <c r="F900" s="56">
        <v>0.05</v>
      </c>
      <c r="G900" s="56">
        <v>0.15</v>
      </c>
      <c r="H900" s="56" t="s">
        <v>36</v>
      </c>
      <c r="I900" s="56">
        <v>0.04</v>
      </c>
      <c r="J900" s="57">
        <v>0.02</v>
      </c>
    </row>
    <row r="901" spans="1:10" ht="17.25" thickBot="1" x14ac:dyDescent="0.35">
      <c r="A901" s="58" t="s">
        <v>882</v>
      </c>
      <c r="B901" s="59">
        <f t="shared" si="42"/>
        <v>0</v>
      </c>
      <c r="C901" s="59" t="str">
        <f t="shared" si="43"/>
        <v>Putumayo</v>
      </c>
      <c r="D901" s="59" t="str">
        <f t="shared" si="44"/>
        <v>Puerto Leguízamo, Putumayo</v>
      </c>
      <c r="E901" s="55">
        <v>86573</v>
      </c>
      <c r="F901" s="56">
        <v>0.05</v>
      </c>
      <c r="G901" s="56">
        <v>0.05</v>
      </c>
      <c r="H901" s="56" t="s">
        <v>11</v>
      </c>
      <c r="I901" s="56">
        <v>0.04</v>
      </c>
      <c r="J901" s="57">
        <v>0.02</v>
      </c>
    </row>
    <row r="902" spans="1:10" ht="17.25" thickBot="1" x14ac:dyDescent="0.35">
      <c r="A902" s="58" t="s">
        <v>144</v>
      </c>
      <c r="B902" s="59">
        <f t="shared" si="42"/>
        <v>0</v>
      </c>
      <c r="C902" s="59" t="str">
        <f t="shared" si="43"/>
        <v>Putumayo</v>
      </c>
      <c r="D902" s="59" t="str">
        <f t="shared" si="44"/>
        <v>San Francisco, Putumayo</v>
      </c>
      <c r="E902" s="55">
        <v>86755</v>
      </c>
      <c r="F902" s="56">
        <v>0.3</v>
      </c>
      <c r="G902" s="56">
        <v>0.25</v>
      </c>
      <c r="H902" s="56" t="s">
        <v>39</v>
      </c>
      <c r="I902" s="56">
        <v>0.16</v>
      </c>
      <c r="J902" s="57">
        <v>0.1</v>
      </c>
    </row>
    <row r="903" spans="1:10" ht="17.25" thickBot="1" x14ac:dyDescent="0.35">
      <c r="A903" s="58" t="s">
        <v>883</v>
      </c>
      <c r="B903" s="59">
        <f t="shared" si="42"/>
        <v>0</v>
      </c>
      <c r="C903" s="59" t="str">
        <f t="shared" si="43"/>
        <v>Putumayo</v>
      </c>
      <c r="D903" s="59" t="str">
        <f t="shared" si="44"/>
        <v>San Miguel, Putumayo</v>
      </c>
      <c r="E903" s="55">
        <v>86757</v>
      </c>
      <c r="F903" s="56">
        <v>0.15</v>
      </c>
      <c r="G903" s="56">
        <v>0.2</v>
      </c>
      <c r="H903" s="56" t="s">
        <v>36</v>
      </c>
      <c r="I903" s="56">
        <v>0.04</v>
      </c>
      <c r="J903" s="57">
        <v>0.02</v>
      </c>
    </row>
    <row r="904" spans="1:10" ht="17.25" thickBot="1" x14ac:dyDescent="0.35">
      <c r="A904" s="58" t="s">
        <v>869</v>
      </c>
      <c r="B904" s="59">
        <f t="shared" si="42"/>
        <v>0</v>
      </c>
      <c r="C904" s="59" t="str">
        <f t="shared" si="43"/>
        <v>Putumayo</v>
      </c>
      <c r="D904" s="59" t="str">
        <f t="shared" si="44"/>
        <v>Santiago, Putumayo</v>
      </c>
      <c r="E904" s="55">
        <v>86760</v>
      </c>
      <c r="F904" s="56">
        <v>0.3</v>
      </c>
      <c r="G904" s="56">
        <v>0.25</v>
      </c>
      <c r="H904" s="56" t="s">
        <v>39</v>
      </c>
      <c r="I904" s="56">
        <v>0.17</v>
      </c>
      <c r="J904" s="57">
        <v>0.1</v>
      </c>
    </row>
    <row r="905" spans="1:10" ht="17.25" thickBot="1" x14ac:dyDescent="0.35">
      <c r="A905" s="58" t="s">
        <v>884</v>
      </c>
      <c r="B905" s="59">
        <f t="shared" si="42"/>
        <v>0</v>
      </c>
      <c r="C905" s="59" t="str">
        <f t="shared" si="43"/>
        <v>Putumayo</v>
      </c>
      <c r="D905" s="59" t="str">
        <f t="shared" si="44"/>
        <v>Sibundoy, Putumayo</v>
      </c>
      <c r="E905" s="55">
        <v>86749</v>
      </c>
      <c r="F905" s="56">
        <v>0.25</v>
      </c>
      <c r="G905" s="56">
        <v>0.25</v>
      </c>
      <c r="H905" s="56" t="s">
        <v>39</v>
      </c>
      <c r="I905" s="56">
        <v>0.14000000000000001</v>
      </c>
      <c r="J905" s="57">
        <v>0.08</v>
      </c>
    </row>
    <row r="906" spans="1:10" ht="17.25" thickBot="1" x14ac:dyDescent="0.35">
      <c r="A906" s="58" t="s">
        <v>885</v>
      </c>
      <c r="B906" s="59">
        <f t="shared" si="42"/>
        <v>0</v>
      </c>
      <c r="C906" s="59" t="str">
        <f t="shared" si="43"/>
        <v>Putumayo</v>
      </c>
      <c r="D906" s="59" t="str">
        <f t="shared" si="44"/>
        <v>Valle del Guamuez, Putumayo</v>
      </c>
      <c r="E906" s="55">
        <v>86865</v>
      </c>
      <c r="F906" s="56">
        <v>0.15</v>
      </c>
      <c r="G906" s="56">
        <v>0.2</v>
      </c>
      <c r="H906" s="56" t="s">
        <v>36</v>
      </c>
      <c r="I906" s="56">
        <v>0.04</v>
      </c>
      <c r="J906" s="57">
        <v>0.02</v>
      </c>
    </row>
    <row r="907" spans="1:10" ht="17.25" thickBot="1" x14ac:dyDescent="0.35">
      <c r="A907" s="58" t="s">
        <v>886</v>
      </c>
      <c r="B907" s="59">
        <f t="shared" si="42"/>
        <v>0</v>
      </c>
      <c r="C907" s="59" t="str">
        <f t="shared" si="43"/>
        <v>Putumayo</v>
      </c>
      <c r="D907" s="59" t="str">
        <f t="shared" si="44"/>
        <v>Villagarzón, Putumayo</v>
      </c>
      <c r="E907" s="55">
        <v>86885</v>
      </c>
      <c r="F907" s="56">
        <v>0.3</v>
      </c>
      <c r="G907" s="56">
        <v>0.25</v>
      </c>
      <c r="H907" s="56" t="s">
        <v>39</v>
      </c>
      <c r="I907" s="56">
        <v>0.08</v>
      </c>
      <c r="J907" s="57">
        <v>0.05</v>
      </c>
    </row>
    <row r="908" spans="1:10" ht="17.25" thickBot="1" x14ac:dyDescent="0.35">
      <c r="A908" s="43" t="s">
        <v>887</v>
      </c>
      <c r="B908" s="44">
        <f t="shared" si="42"/>
        <v>1</v>
      </c>
      <c r="C908" s="44" t="str">
        <f t="shared" si="43"/>
        <v>Quindío</v>
      </c>
      <c r="D908" s="44" t="str">
        <f t="shared" si="44"/>
        <v/>
      </c>
      <c r="E908" s="45"/>
      <c r="F908" s="46"/>
      <c r="G908" s="46"/>
      <c r="H908" s="46"/>
      <c r="I908" s="46"/>
      <c r="J908" s="47"/>
    </row>
    <row r="909" spans="1:10" ht="17.25" thickBot="1" x14ac:dyDescent="0.35">
      <c r="A909" s="53" t="s">
        <v>65</v>
      </c>
      <c r="B909" s="54">
        <f t="shared" si="42"/>
        <v>0</v>
      </c>
      <c r="C909" s="54" t="str">
        <f t="shared" si="43"/>
        <v>Quindío</v>
      </c>
      <c r="D909" s="54" t="str">
        <f t="shared" si="44"/>
        <v>Armenia, Quindío</v>
      </c>
      <c r="E909" s="55">
        <v>63001</v>
      </c>
      <c r="F909" s="56">
        <v>0.25</v>
      </c>
      <c r="G909" s="56">
        <v>0.25</v>
      </c>
      <c r="H909" s="56" t="s">
        <v>39</v>
      </c>
      <c r="I909" s="56">
        <v>0.2</v>
      </c>
      <c r="J909" s="57">
        <v>0.1</v>
      </c>
    </row>
    <row r="910" spans="1:10" ht="17.25" thickBot="1" x14ac:dyDescent="0.35">
      <c r="A910" s="58" t="s">
        <v>266</v>
      </c>
      <c r="B910" s="59">
        <f t="shared" si="42"/>
        <v>0</v>
      </c>
      <c r="C910" s="59" t="str">
        <f t="shared" si="43"/>
        <v>Quindío</v>
      </c>
      <c r="D910" s="59" t="str">
        <f t="shared" si="44"/>
        <v>Buenavista, Quindío</v>
      </c>
      <c r="E910" s="55">
        <v>63111</v>
      </c>
      <c r="F910" s="56">
        <v>0.25</v>
      </c>
      <c r="G910" s="56">
        <v>0.2</v>
      </c>
      <c r="H910" s="56" t="s">
        <v>39</v>
      </c>
      <c r="I910" s="56">
        <v>0.19</v>
      </c>
      <c r="J910" s="57">
        <v>0.09</v>
      </c>
    </row>
    <row r="911" spans="1:10" ht="17.25" thickBot="1" x14ac:dyDescent="0.35">
      <c r="A911" s="58" t="s">
        <v>888</v>
      </c>
      <c r="B911" s="59">
        <f t="shared" si="42"/>
        <v>0</v>
      </c>
      <c r="C911" s="59" t="str">
        <f t="shared" si="43"/>
        <v>Quindío</v>
      </c>
      <c r="D911" s="59" t="str">
        <f t="shared" si="44"/>
        <v>Calarcá, Quindío</v>
      </c>
      <c r="E911" s="55">
        <v>63130</v>
      </c>
      <c r="F911" s="56">
        <v>0.25</v>
      </c>
      <c r="G911" s="56">
        <v>0.25</v>
      </c>
      <c r="H911" s="56" t="s">
        <v>39</v>
      </c>
      <c r="I911" s="56">
        <v>0.2</v>
      </c>
      <c r="J911" s="57">
        <v>0.1</v>
      </c>
    </row>
    <row r="912" spans="1:10" ht="17.25" thickBot="1" x14ac:dyDescent="0.35">
      <c r="A912" s="58" t="s">
        <v>889</v>
      </c>
      <c r="B912" s="59">
        <f t="shared" si="42"/>
        <v>0</v>
      </c>
      <c r="C912" s="59" t="str">
        <f t="shared" si="43"/>
        <v>Quindío</v>
      </c>
      <c r="D912" s="59" t="str">
        <f t="shared" si="44"/>
        <v>Circasia, Quindío</v>
      </c>
      <c r="E912" s="55">
        <v>63190</v>
      </c>
      <c r="F912" s="56">
        <v>0.25</v>
      </c>
      <c r="G912" s="56">
        <v>0.25</v>
      </c>
      <c r="H912" s="56" t="s">
        <v>39</v>
      </c>
      <c r="I912" s="56">
        <v>0.2</v>
      </c>
      <c r="J912" s="57">
        <v>0.11</v>
      </c>
    </row>
    <row r="913" spans="1:10" ht="17.25" thickBot="1" x14ac:dyDescent="0.35">
      <c r="A913" s="58" t="s">
        <v>28</v>
      </c>
      <c r="B913" s="59">
        <f t="shared" si="42"/>
        <v>0</v>
      </c>
      <c r="C913" s="59" t="str">
        <f t="shared" si="43"/>
        <v>Quindío</v>
      </c>
      <c r="D913" s="59" t="str">
        <f t="shared" si="44"/>
        <v>Córdoba, Quindío</v>
      </c>
      <c r="E913" s="55">
        <v>63212</v>
      </c>
      <c r="F913" s="56">
        <v>0.25</v>
      </c>
      <c r="G913" s="56">
        <v>0.2</v>
      </c>
      <c r="H913" s="56" t="s">
        <v>39</v>
      </c>
      <c r="I913" s="56">
        <v>0.2</v>
      </c>
      <c r="J913" s="57">
        <v>0.1</v>
      </c>
    </row>
    <row r="914" spans="1:10" ht="17.25" thickBot="1" x14ac:dyDescent="0.35">
      <c r="A914" s="58" t="s">
        <v>890</v>
      </c>
      <c r="B914" s="59">
        <f t="shared" si="42"/>
        <v>0</v>
      </c>
      <c r="C914" s="59" t="str">
        <f t="shared" si="43"/>
        <v>Quindío</v>
      </c>
      <c r="D914" s="59" t="str">
        <f t="shared" si="44"/>
        <v>Filandia, Quindío</v>
      </c>
      <c r="E914" s="55">
        <v>63272</v>
      </c>
      <c r="F914" s="56">
        <v>0.25</v>
      </c>
      <c r="G914" s="56">
        <v>0.25</v>
      </c>
      <c r="H914" s="56" t="s">
        <v>39</v>
      </c>
      <c r="I914" s="56">
        <v>0.2</v>
      </c>
      <c r="J914" s="57">
        <v>0.11</v>
      </c>
    </row>
    <row r="915" spans="1:10" ht="17.25" thickBot="1" x14ac:dyDescent="0.35">
      <c r="A915" s="58" t="s">
        <v>891</v>
      </c>
      <c r="B915" s="59">
        <f t="shared" si="42"/>
        <v>0</v>
      </c>
      <c r="C915" s="59" t="str">
        <f t="shared" si="43"/>
        <v>Quindío</v>
      </c>
      <c r="D915" s="59" t="str">
        <f t="shared" si="44"/>
        <v>Génova, Quindío</v>
      </c>
      <c r="E915" s="55">
        <v>63302</v>
      </c>
      <c r="F915" s="56">
        <v>0.25</v>
      </c>
      <c r="G915" s="56">
        <v>0.2</v>
      </c>
      <c r="H915" s="56" t="s">
        <v>39</v>
      </c>
      <c r="I915" s="56">
        <v>0.2</v>
      </c>
      <c r="J915" s="57">
        <v>0.09</v>
      </c>
    </row>
    <row r="916" spans="1:10" ht="17.25" thickBot="1" x14ac:dyDescent="0.35">
      <c r="A916" s="58" t="s">
        <v>892</v>
      </c>
      <c r="B916" s="59">
        <f t="shared" si="42"/>
        <v>0</v>
      </c>
      <c r="C916" s="59" t="str">
        <f t="shared" si="43"/>
        <v>Quindío</v>
      </c>
      <c r="D916" s="59" t="str">
        <f t="shared" si="44"/>
        <v>La Tebaida, Quindío</v>
      </c>
      <c r="E916" s="55">
        <v>63401</v>
      </c>
      <c r="F916" s="56">
        <v>0.25</v>
      </c>
      <c r="G916" s="56">
        <v>0.25</v>
      </c>
      <c r="H916" s="56" t="s">
        <v>39</v>
      </c>
      <c r="I916" s="56">
        <v>0.18</v>
      </c>
      <c r="J916" s="57">
        <v>0.09</v>
      </c>
    </row>
    <row r="917" spans="1:10" ht="17.25" thickBot="1" x14ac:dyDescent="0.35">
      <c r="A917" s="58" t="s">
        <v>893</v>
      </c>
      <c r="B917" s="59">
        <f t="shared" si="42"/>
        <v>0</v>
      </c>
      <c r="C917" s="59" t="str">
        <f t="shared" si="43"/>
        <v>Quindío</v>
      </c>
      <c r="D917" s="59" t="str">
        <f t="shared" si="44"/>
        <v>Montenegro, Quindío</v>
      </c>
      <c r="E917" s="55">
        <v>63470</v>
      </c>
      <c r="F917" s="56">
        <v>0.25</v>
      </c>
      <c r="G917" s="56">
        <v>0.25</v>
      </c>
      <c r="H917" s="56" t="s">
        <v>39</v>
      </c>
      <c r="I917" s="56">
        <v>0.19</v>
      </c>
      <c r="J917" s="57">
        <v>0.1</v>
      </c>
    </row>
    <row r="918" spans="1:10" ht="17.25" thickBot="1" x14ac:dyDescent="0.35">
      <c r="A918" s="58" t="s">
        <v>894</v>
      </c>
      <c r="B918" s="59">
        <f t="shared" si="42"/>
        <v>0</v>
      </c>
      <c r="C918" s="59" t="str">
        <f t="shared" si="43"/>
        <v>Quindío</v>
      </c>
      <c r="D918" s="59" t="str">
        <f t="shared" si="44"/>
        <v>Pijáo, Quindío</v>
      </c>
      <c r="E918" s="55">
        <v>63548</v>
      </c>
      <c r="F918" s="56">
        <v>0.25</v>
      </c>
      <c r="G918" s="56">
        <v>0.2</v>
      </c>
      <c r="H918" s="56" t="s">
        <v>39</v>
      </c>
      <c r="I918" s="56">
        <v>0.2</v>
      </c>
      <c r="J918" s="57">
        <v>0.1</v>
      </c>
    </row>
    <row r="919" spans="1:10" ht="17.25" thickBot="1" x14ac:dyDescent="0.35">
      <c r="A919" s="58" t="s">
        <v>895</v>
      </c>
      <c r="B919" s="59">
        <f t="shared" si="42"/>
        <v>0</v>
      </c>
      <c r="C919" s="59" t="str">
        <f t="shared" si="43"/>
        <v>Quindío</v>
      </c>
      <c r="D919" s="59" t="str">
        <f t="shared" si="44"/>
        <v>Quimbaya, Quindío</v>
      </c>
      <c r="E919" s="55">
        <v>63594</v>
      </c>
      <c r="F919" s="56">
        <v>0.25</v>
      </c>
      <c r="G919" s="56">
        <v>0.25</v>
      </c>
      <c r="H919" s="56" t="s">
        <v>39</v>
      </c>
      <c r="I919" s="56">
        <v>0.2</v>
      </c>
      <c r="J919" s="57">
        <v>0.1</v>
      </c>
    </row>
    <row r="920" spans="1:10" ht="17.25" thickBot="1" x14ac:dyDescent="0.35">
      <c r="A920" s="58" t="s">
        <v>896</v>
      </c>
      <c r="B920" s="59">
        <f t="shared" si="42"/>
        <v>0</v>
      </c>
      <c r="C920" s="59" t="str">
        <f t="shared" si="43"/>
        <v>Quindío</v>
      </c>
      <c r="D920" s="59" t="str">
        <f t="shared" si="44"/>
        <v>Salento, Quindío</v>
      </c>
      <c r="E920" s="55">
        <v>63690</v>
      </c>
      <c r="F920" s="56">
        <v>0.25</v>
      </c>
      <c r="G920" s="56">
        <v>0.25</v>
      </c>
      <c r="H920" s="56" t="s">
        <v>39</v>
      </c>
      <c r="I920" s="56">
        <v>0.18</v>
      </c>
      <c r="J920" s="57">
        <v>0.09</v>
      </c>
    </row>
    <row r="921" spans="1:10" ht="17.25" thickBot="1" x14ac:dyDescent="0.35">
      <c r="A921" s="43" t="s">
        <v>897</v>
      </c>
      <c r="B921" s="44">
        <f t="shared" si="42"/>
        <v>1</v>
      </c>
      <c r="C921" s="44" t="str">
        <f t="shared" si="43"/>
        <v>Risaralda</v>
      </c>
      <c r="D921" s="44" t="str">
        <f t="shared" si="44"/>
        <v/>
      </c>
      <c r="E921" s="45"/>
      <c r="F921" s="46"/>
      <c r="G921" s="46"/>
      <c r="H921" s="46"/>
      <c r="I921" s="46"/>
      <c r="J921" s="47"/>
    </row>
    <row r="922" spans="1:10" ht="17.25" thickBot="1" x14ac:dyDescent="0.35">
      <c r="A922" s="53" t="s">
        <v>898</v>
      </c>
      <c r="B922" s="54">
        <f t="shared" si="42"/>
        <v>0</v>
      </c>
      <c r="C922" s="54" t="str">
        <f t="shared" si="43"/>
        <v>Risaralda</v>
      </c>
      <c r="D922" s="54" t="str">
        <f t="shared" si="44"/>
        <v>Pereira, Risaralda</v>
      </c>
      <c r="E922" s="55">
        <v>66001</v>
      </c>
      <c r="F922" s="56">
        <v>0.25</v>
      </c>
      <c r="G922" s="56">
        <v>0.25</v>
      </c>
      <c r="H922" s="56" t="s">
        <v>39</v>
      </c>
      <c r="I922" s="56">
        <v>0.2</v>
      </c>
      <c r="J922" s="57">
        <v>0.1</v>
      </c>
    </row>
    <row r="923" spans="1:10" ht="17.25" thickBot="1" x14ac:dyDescent="0.35">
      <c r="A923" s="58" t="s">
        <v>899</v>
      </c>
      <c r="B923" s="59">
        <f t="shared" si="42"/>
        <v>0</v>
      </c>
      <c r="C923" s="59" t="str">
        <f t="shared" si="43"/>
        <v>Risaralda</v>
      </c>
      <c r="D923" s="59" t="str">
        <f t="shared" si="44"/>
        <v>Apía, Risaralda</v>
      </c>
      <c r="E923" s="55">
        <v>66045</v>
      </c>
      <c r="F923" s="56">
        <v>0.3</v>
      </c>
      <c r="G923" s="56">
        <v>0.3</v>
      </c>
      <c r="H923" s="56" t="s">
        <v>39</v>
      </c>
      <c r="I923" s="56">
        <v>0.2</v>
      </c>
      <c r="J923" s="57">
        <v>0.1</v>
      </c>
    </row>
    <row r="924" spans="1:10" ht="17.25" thickBot="1" x14ac:dyDescent="0.35">
      <c r="A924" s="58" t="s">
        <v>440</v>
      </c>
      <c r="B924" s="59">
        <f t="shared" si="42"/>
        <v>0</v>
      </c>
      <c r="C924" s="59" t="str">
        <f t="shared" si="43"/>
        <v>Risaralda</v>
      </c>
      <c r="D924" s="59" t="str">
        <f t="shared" si="44"/>
        <v>Balboa, Risaralda</v>
      </c>
      <c r="E924" s="55">
        <v>66075</v>
      </c>
      <c r="F924" s="56">
        <v>0.25</v>
      </c>
      <c r="G924" s="56">
        <v>0.3</v>
      </c>
      <c r="H924" s="56" t="s">
        <v>39</v>
      </c>
      <c r="I924" s="56">
        <v>0.2</v>
      </c>
      <c r="J924" s="57">
        <v>0.1</v>
      </c>
    </row>
    <row r="925" spans="1:10" ht="17.25" thickBot="1" x14ac:dyDescent="0.35">
      <c r="A925" s="58" t="s">
        <v>900</v>
      </c>
      <c r="B925" s="59">
        <f t="shared" si="42"/>
        <v>0</v>
      </c>
      <c r="C925" s="59" t="str">
        <f t="shared" si="43"/>
        <v>Risaralda</v>
      </c>
      <c r="D925" s="59" t="str">
        <f t="shared" si="44"/>
        <v>Belén De Umbría, Risaralda</v>
      </c>
      <c r="E925" s="55">
        <v>66088</v>
      </c>
      <c r="F925" s="56">
        <v>0.25</v>
      </c>
      <c r="G925" s="56">
        <v>0.3</v>
      </c>
      <c r="H925" s="56" t="s">
        <v>39</v>
      </c>
      <c r="I925" s="56">
        <v>0.2</v>
      </c>
      <c r="J925" s="57">
        <v>0.1</v>
      </c>
    </row>
    <row r="926" spans="1:10" ht="17.25" thickBot="1" x14ac:dyDescent="0.35">
      <c r="A926" s="58" t="s">
        <v>901</v>
      </c>
      <c r="B926" s="59">
        <f t="shared" si="42"/>
        <v>0</v>
      </c>
      <c r="C926" s="59" t="str">
        <f t="shared" si="43"/>
        <v>Risaralda</v>
      </c>
      <c r="D926" s="59" t="str">
        <f t="shared" si="44"/>
        <v>DosQuebradas, Risaralda</v>
      </c>
      <c r="E926" s="55">
        <v>66170</v>
      </c>
      <c r="F926" s="56">
        <v>0.25</v>
      </c>
      <c r="G926" s="56">
        <v>0.25</v>
      </c>
      <c r="H926" s="56" t="s">
        <v>39</v>
      </c>
      <c r="I926" s="56">
        <v>0.2</v>
      </c>
      <c r="J926" s="57">
        <v>0.1</v>
      </c>
    </row>
    <row r="927" spans="1:10" ht="17.25" thickBot="1" x14ac:dyDescent="0.35">
      <c r="A927" s="58" t="s">
        <v>902</v>
      </c>
      <c r="B927" s="59">
        <f t="shared" si="42"/>
        <v>0</v>
      </c>
      <c r="C927" s="59" t="str">
        <f t="shared" si="43"/>
        <v>Risaralda</v>
      </c>
      <c r="D927" s="59" t="str">
        <f t="shared" si="44"/>
        <v>Guática, Risaralda</v>
      </c>
      <c r="E927" s="55">
        <v>66318</v>
      </c>
      <c r="F927" s="56">
        <v>0.25</v>
      </c>
      <c r="G927" s="56">
        <v>0.3</v>
      </c>
      <c r="H927" s="56" t="s">
        <v>39</v>
      </c>
      <c r="I927" s="56">
        <v>0.2</v>
      </c>
      <c r="J927" s="57">
        <v>0.1</v>
      </c>
    </row>
    <row r="928" spans="1:10" ht="17.25" thickBot="1" x14ac:dyDescent="0.35">
      <c r="A928" s="58" t="s">
        <v>903</v>
      </c>
      <c r="B928" s="59">
        <f t="shared" si="42"/>
        <v>0</v>
      </c>
      <c r="C928" s="59" t="str">
        <f t="shared" si="43"/>
        <v>Risaralda</v>
      </c>
      <c r="D928" s="59" t="str">
        <f t="shared" si="44"/>
        <v>La Celia, Risaralda</v>
      </c>
      <c r="E928" s="55">
        <v>66383</v>
      </c>
      <c r="F928" s="56">
        <v>0.3</v>
      </c>
      <c r="G928" s="56">
        <v>0.3</v>
      </c>
      <c r="H928" s="56" t="s">
        <v>39</v>
      </c>
      <c r="I928" s="56">
        <v>0.2</v>
      </c>
      <c r="J928" s="57">
        <v>0.1</v>
      </c>
    </row>
    <row r="929" spans="1:10" ht="17.25" thickBot="1" x14ac:dyDescent="0.35">
      <c r="A929" s="58" t="s">
        <v>904</v>
      </c>
      <c r="B929" s="59">
        <f t="shared" si="42"/>
        <v>0</v>
      </c>
      <c r="C929" s="59" t="str">
        <f t="shared" si="43"/>
        <v>Risaralda</v>
      </c>
      <c r="D929" s="59" t="str">
        <f t="shared" si="44"/>
        <v>La Virginia, Risaralda</v>
      </c>
      <c r="E929" s="55">
        <v>66400</v>
      </c>
      <c r="F929" s="56">
        <v>0.25</v>
      </c>
      <c r="G929" s="56">
        <v>0.3</v>
      </c>
      <c r="H929" s="56" t="s">
        <v>39</v>
      </c>
      <c r="I929" s="56">
        <v>0.2</v>
      </c>
      <c r="J929" s="57">
        <v>0.1</v>
      </c>
    </row>
    <row r="930" spans="1:10" ht="17.25" thickBot="1" x14ac:dyDescent="0.35">
      <c r="A930" s="58" t="s">
        <v>905</v>
      </c>
      <c r="B930" s="59">
        <f t="shared" si="42"/>
        <v>0</v>
      </c>
      <c r="C930" s="59" t="str">
        <f t="shared" si="43"/>
        <v>Risaralda</v>
      </c>
      <c r="D930" s="59" t="str">
        <f t="shared" si="44"/>
        <v>Marsella, Risaralda</v>
      </c>
      <c r="E930" s="55">
        <v>66440</v>
      </c>
      <c r="F930" s="56">
        <v>0.25</v>
      </c>
      <c r="G930" s="56">
        <v>0.25</v>
      </c>
      <c r="H930" s="56" t="s">
        <v>39</v>
      </c>
      <c r="I930" s="56">
        <v>0.2</v>
      </c>
      <c r="J930" s="57">
        <v>0.1</v>
      </c>
    </row>
    <row r="931" spans="1:10" ht="17.25" thickBot="1" x14ac:dyDescent="0.35">
      <c r="A931" s="58" t="s">
        <v>906</v>
      </c>
      <c r="B931" s="59">
        <f t="shared" si="42"/>
        <v>0</v>
      </c>
      <c r="C931" s="59" t="str">
        <f t="shared" si="43"/>
        <v>Risaralda</v>
      </c>
      <c r="D931" s="59" t="str">
        <f t="shared" si="44"/>
        <v>Mistrató, Risaralda</v>
      </c>
      <c r="E931" s="55">
        <v>66456</v>
      </c>
      <c r="F931" s="56">
        <v>0.3</v>
      </c>
      <c r="G931" s="56">
        <v>0.3</v>
      </c>
      <c r="H931" s="56" t="s">
        <v>39</v>
      </c>
      <c r="I931" s="56">
        <v>0.2</v>
      </c>
      <c r="J931" s="57">
        <v>0.1</v>
      </c>
    </row>
    <row r="932" spans="1:10" ht="17.25" thickBot="1" x14ac:dyDescent="0.35">
      <c r="A932" s="58" t="s">
        <v>907</v>
      </c>
      <c r="B932" s="59">
        <f t="shared" si="42"/>
        <v>0</v>
      </c>
      <c r="C932" s="59" t="str">
        <f t="shared" si="43"/>
        <v>Risaralda</v>
      </c>
      <c r="D932" s="59" t="str">
        <f t="shared" si="44"/>
        <v>Pueblo Rico, Risaralda</v>
      </c>
      <c r="E932" s="55">
        <v>66572</v>
      </c>
      <c r="F932" s="56">
        <v>0.3</v>
      </c>
      <c r="G932" s="56">
        <v>0.3</v>
      </c>
      <c r="H932" s="56" t="s">
        <v>39</v>
      </c>
      <c r="I932" s="56">
        <v>0.2</v>
      </c>
      <c r="J932" s="57">
        <v>0.1</v>
      </c>
    </row>
    <row r="933" spans="1:10" ht="17.25" thickBot="1" x14ac:dyDescent="0.35">
      <c r="A933" s="58" t="s">
        <v>908</v>
      </c>
      <c r="B933" s="59">
        <f t="shared" si="42"/>
        <v>0</v>
      </c>
      <c r="C933" s="59" t="str">
        <f t="shared" si="43"/>
        <v>Risaralda</v>
      </c>
      <c r="D933" s="59" t="str">
        <f t="shared" si="44"/>
        <v>Quinchía, Risaralda</v>
      </c>
      <c r="E933" s="55">
        <v>66594</v>
      </c>
      <c r="F933" s="56">
        <v>0.25</v>
      </c>
      <c r="G933" s="56">
        <v>0.3</v>
      </c>
      <c r="H933" s="56" t="s">
        <v>39</v>
      </c>
      <c r="I933" s="56">
        <v>0.2</v>
      </c>
      <c r="J933" s="57">
        <v>0.1</v>
      </c>
    </row>
    <row r="934" spans="1:10" ht="17.25" thickBot="1" x14ac:dyDescent="0.35">
      <c r="A934" s="58" t="s">
        <v>909</v>
      </c>
      <c r="B934" s="59">
        <f t="shared" si="42"/>
        <v>0</v>
      </c>
      <c r="C934" s="59" t="str">
        <f t="shared" si="43"/>
        <v>Risaralda</v>
      </c>
      <c r="D934" s="59" t="str">
        <f t="shared" si="44"/>
        <v>Santa Rosa De Cabal, Risaralda</v>
      </c>
      <c r="E934" s="55">
        <v>66682</v>
      </c>
      <c r="F934" s="56">
        <v>0.25</v>
      </c>
      <c r="G934" s="56">
        <v>0.25</v>
      </c>
      <c r="H934" s="56" t="s">
        <v>39</v>
      </c>
      <c r="I934" s="56">
        <v>0.18</v>
      </c>
      <c r="J934" s="57">
        <v>0.09</v>
      </c>
    </row>
    <row r="935" spans="1:10" ht="17.25" thickBot="1" x14ac:dyDescent="0.35">
      <c r="A935" s="58" t="s">
        <v>158</v>
      </c>
      <c r="B935" s="59">
        <f t="shared" si="42"/>
        <v>0</v>
      </c>
      <c r="C935" s="59" t="str">
        <f t="shared" si="43"/>
        <v>Risaralda</v>
      </c>
      <c r="D935" s="59" t="str">
        <f t="shared" si="44"/>
        <v>Santuario, Risaralda</v>
      </c>
      <c r="E935" s="55">
        <v>66687</v>
      </c>
      <c r="F935" s="56">
        <v>0.3</v>
      </c>
      <c r="G935" s="56">
        <v>0.3</v>
      </c>
      <c r="H935" s="56" t="s">
        <v>39</v>
      </c>
      <c r="I935" s="56">
        <v>0.2</v>
      </c>
      <c r="J935" s="57">
        <v>0.1</v>
      </c>
    </row>
    <row r="936" spans="1:10" ht="17.25" thickBot="1" x14ac:dyDescent="0.35">
      <c r="A936" s="43" t="s">
        <v>910</v>
      </c>
      <c r="B936" s="44">
        <f t="shared" si="42"/>
        <v>1</v>
      </c>
      <c r="C936" s="44" t="str">
        <f t="shared" si="43"/>
        <v>Santander</v>
      </c>
      <c r="D936" s="44" t="str">
        <f t="shared" si="44"/>
        <v/>
      </c>
      <c r="E936" s="45"/>
      <c r="F936" s="46"/>
      <c r="G936" s="46"/>
      <c r="H936" s="46"/>
      <c r="I936" s="46"/>
      <c r="J936" s="47"/>
    </row>
    <row r="937" spans="1:10" ht="17.25" thickBot="1" x14ac:dyDescent="0.35">
      <c r="A937" s="53" t="s">
        <v>911</v>
      </c>
      <c r="B937" s="54">
        <f t="shared" si="42"/>
        <v>0</v>
      </c>
      <c r="C937" s="54" t="str">
        <f t="shared" si="43"/>
        <v>Santander</v>
      </c>
      <c r="D937" s="54" t="str">
        <f t="shared" si="44"/>
        <v>Bucaramanga, Santander</v>
      </c>
      <c r="E937" s="55">
        <v>68001</v>
      </c>
      <c r="F937" s="56">
        <v>0.25</v>
      </c>
      <c r="G937" s="56">
        <v>0.25</v>
      </c>
      <c r="H937" s="56" t="s">
        <v>39</v>
      </c>
      <c r="I937" s="56">
        <v>0.15</v>
      </c>
      <c r="J937" s="57">
        <v>0.09</v>
      </c>
    </row>
    <row r="938" spans="1:10" ht="17.25" thickBot="1" x14ac:dyDescent="0.35">
      <c r="A938" s="58" t="s">
        <v>912</v>
      </c>
      <c r="B938" s="59">
        <f t="shared" si="42"/>
        <v>0</v>
      </c>
      <c r="C938" s="59" t="str">
        <f t="shared" si="43"/>
        <v>Santander</v>
      </c>
      <c r="D938" s="59" t="str">
        <f t="shared" si="44"/>
        <v>Aguada, Santander</v>
      </c>
      <c r="E938" s="55">
        <v>68013</v>
      </c>
      <c r="F938" s="56">
        <v>0.15</v>
      </c>
      <c r="G938" s="56">
        <v>0.2</v>
      </c>
      <c r="H938" s="56" t="s">
        <v>36</v>
      </c>
      <c r="I938" s="56">
        <v>0.17</v>
      </c>
      <c r="J938" s="57">
        <v>0.09</v>
      </c>
    </row>
    <row r="939" spans="1:10" ht="17.25" thickBot="1" x14ac:dyDescent="0.35">
      <c r="A939" s="58" t="s">
        <v>405</v>
      </c>
      <c r="B939" s="59">
        <f t="shared" si="42"/>
        <v>0</v>
      </c>
      <c r="C939" s="59" t="str">
        <f t="shared" si="43"/>
        <v>Santander</v>
      </c>
      <c r="D939" s="59" t="str">
        <f t="shared" si="44"/>
        <v>Albania, Santander</v>
      </c>
      <c r="E939" s="55">
        <v>68020</v>
      </c>
      <c r="F939" s="56">
        <v>0.15</v>
      </c>
      <c r="G939" s="56">
        <v>0.15</v>
      </c>
      <c r="H939" s="56" t="s">
        <v>36</v>
      </c>
      <c r="I939" s="56">
        <v>0.09</v>
      </c>
      <c r="J939" s="57">
        <v>0.06</v>
      </c>
    </row>
    <row r="940" spans="1:10" ht="17.25" thickBot="1" x14ac:dyDescent="0.35">
      <c r="A940" s="58" t="s">
        <v>913</v>
      </c>
      <c r="B940" s="59">
        <f t="shared" si="42"/>
        <v>0</v>
      </c>
      <c r="C940" s="59" t="str">
        <f t="shared" si="43"/>
        <v>Santander</v>
      </c>
      <c r="D940" s="59" t="str">
        <f t="shared" si="44"/>
        <v>Aratoca, Santander</v>
      </c>
      <c r="E940" s="55">
        <v>68051</v>
      </c>
      <c r="F940" s="56">
        <v>0.25</v>
      </c>
      <c r="G940" s="56">
        <v>0.25</v>
      </c>
      <c r="H940" s="56" t="s">
        <v>39</v>
      </c>
      <c r="I940" s="56">
        <v>0.11</v>
      </c>
      <c r="J940" s="57">
        <v>7.0000000000000007E-2</v>
      </c>
    </row>
    <row r="941" spans="1:10" ht="17.25" thickBot="1" x14ac:dyDescent="0.35">
      <c r="A941" s="58" t="s">
        <v>67</v>
      </c>
      <c r="B941" s="59">
        <f t="shared" si="42"/>
        <v>0</v>
      </c>
      <c r="C941" s="59" t="str">
        <f t="shared" si="43"/>
        <v>Santander</v>
      </c>
      <c r="D941" s="59" t="str">
        <f t="shared" si="44"/>
        <v>Barbosa, Santander</v>
      </c>
      <c r="E941" s="55">
        <v>68077</v>
      </c>
      <c r="F941" s="56">
        <v>0.15</v>
      </c>
      <c r="G941" s="56">
        <v>0.2</v>
      </c>
      <c r="H941" s="56" t="s">
        <v>36</v>
      </c>
      <c r="I941" s="56">
        <v>0.09</v>
      </c>
      <c r="J941" s="57">
        <v>0.06</v>
      </c>
    </row>
    <row r="942" spans="1:10" ht="17.25" thickBot="1" x14ac:dyDescent="0.35">
      <c r="A942" s="58" t="s">
        <v>914</v>
      </c>
      <c r="B942" s="59">
        <f t="shared" si="42"/>
        <v>0</v>
      </c>
      <c r="C942" s="59" t="str">
        <f t="shared" si="43"/>
        <v>Santander</v>
      </c>
      <c r="D942" s="59" t="str">
        <f t="shared" si="44"/>
        <v>Barichara, Santander</v>
      </c>
      <c r="E942" s="55">
        <v>68079</v>
      </c>
      <c r="F942" s="56">
        <v>0.2</v>
      </c>
      <c r="G942" s="56">
        <v>0.25</v>
      </c>
      <c r="H942" s="56" t="s">
        <v>39</v>
      </c>
      <c r="I942" s="56">
        <v>0.13</v>
      </c>
      <c r="J942" s="57">
        <v>0.08</v>
      </c>
    </row>
    <row r="943" spans="1:10" ht="17.25" thickBot="1" x14ac:dyDescent="0.35">
      <c r="A943" s="58" t="s">
        <v>915</v>
      </c>
      <c r="B943" s="59">
        <f t="shared" si="42"/>
        <v>0</v>
      </c>
      <c r="C943" s="59" t="str">
        <f t="shared" si="43"/>
        <v>Santander</v>
      </c>
      <c r="D943" s="59" t="str">
        <f t="shared" si="44"/>
        <v>Barrancabermeja, Santander</v>
      </c>
      <c r="E943" s="55">
        <v>68081</v>
      </c>
      <c r="F943" s="56">
        <v>0.15</v>
      </c>
      <c r="G943" s="56">
        <v>0.15</v>
      </c>
      <c r="H943" s="56" t="s">
        <v>36</v>
      </c>
      <c r="I943" s="56">
        <v>0.06</v>
      </c>
      <c r="J943" s="57">
        <v>0.04</v>
      </c>
    </row>
    <row r="944" spans="1:10" ht="17.25" thickBot="1" x14ac:dyDescent="0.35">
      <c r="A944" s="58" t="s">
        <v>75</v>
      </c>
      <c r="B944" s="59">
        <f t="shared" si="42"/>
        <v>0</v>
      </c>
      <c r="C944" s="59" t="str">
        <f t="shared" si="43"/>
        <v>Santander</v>
      </c>
      <c r="D944" s="59" t="str">
        <f t="shared" si="44"/>
        <v>Betulia, Santander</v>
      </c>
      <c r="E944" s="55">
        <v>68092</v>
      </c>
      <c r="F944" s="56">
        <v>0.2</v>
      </c>
      <c r="G944" s="56">
        <v>0.2</v>
      </c>
      <c r="H944" s="56" t="s">
        <v>36</v>
      </c>
      <c r="I944" s="56">
        <v>0.13</v>
      </c>
      <c r="J944" s="57">
        <v>0.09</v>
      </c>
    </row>
    <row r="945" spans="1:10" ht="17.25" thickBot="1" x14ac:dyDescent="0.35">
      <c r="A945" s="58" t="s">
        <v>16</v>
      </c>
      <c r="B945" s="59">
        <f t="shared" si="42"/>
        <v>0</v>
      </c>
      <c r="C945" s="59" t="str">
        <f t="shared" si="43"/>
        <v>Santander</v>
      </c>
      <c r="D945" s="59" t="str">
        <f t="shared" si="44"/>
        <v>Bolívar, Santander</v>
      </c>
      <c r="E945" s="55">
        <v>68101</v>
      </c>
      <c r="F945" s="56">
        <v>0.15</v>
      </c>
      <c r="G945" s="56">
        <v>0.15</v>
      </c>
      <c r="H945" s="56" t="s">
        <v>36</v>
      </c>
      <c r="I945" s="56">
        <v>7.0000000000000007E-2</v>
      </c>
      <c r="J945" s="57">
        <v>0.04</v>
      </c>
    </row>
    <row r="946" spans="1:10" ht="17.25" thickBot="1" x14ac:dyDescent="0.35">
      <c r="A946" s="58" t="s">
        <v>567</v>
      </c>
      <c r="B946" s="59">
        <f t="shared" si="42"/>
        <v>0</v>
      </c>
      <c r="C946" s="59" t="str">
        <f t="shared" si="43"/>
        <v>Santander</v>
      </c>
      <c r="D946" s="59" t="str">
        <f t="shared" si="44"/>
        <v>Cabrera, Santander</v>
      </c>
      <c r="E946" s="55">
        <v>68121</v>
      </c>
      <c r="F946" s="56">
        <v>0.2</v>
      </c>
      <c r="G946" s="56">
        <v>0.2</v>
      </c>
      <c r="H946" s="56" t="s">
        <v>36</v>
      </c>
      <c r="I946" s="56">
        <v>0.13</v>
      </c>
      <c r="J946" s="57">
        <v>0.08</v>
      </c>
    </row>
    <row r="947" spans="1:10" ht="17.25" thickBot="1" x14ac:dyDescent="0.35">
      <c r="A947" s="58" t="s">
        <v>916</v>
      </c>
      <c r="B947" s="59">
        <f t="shared" si="42"/>
        <v>0</v>
      </c>
      <c r="C947" s="59" t="str">
        <f t="shared" si="43"/>
        <v>Santander</v>
      </c>
      <c r="D947" s="59" t="str">
        <f t="shared" si="44"/>
        <v>California, Santander</v>
      </c>
      <c r="E947" s="55">
        <v>68132</v>
      </c>
      <c r="F947" s="56">
        <v>0.25</v>
      </c>
      <c r="G947" s="56">
        <v>0.25</v>
      </c>
      <c r="H947" s="56" t="s">
        <v>39</v>
      </c>
      <c r="I947" s="56">
        <v>0.09</v>
      </c>
      <c r="J947" s="57">
        <v>0.05</v>
      </c>
    </row>
    <row r="948" spans="1:10" ht="17.25" thickBot="1" x14ac:dyDescent="0.35">
      <c r="A948" s="58" t="s">
        <v>917</v>
      </c>
      <c r="B948" s="59">
        <f t="shared" si="42"/>
        <v>0</v>
      </c>
      <c r="C948" s="59" t="str">
        <f t="shared" si="43"/>
        <v>Santander</v>
      </c>
      <c r="D948" s="59" t="str">
        <f t="shared" si="44"/>
        <v>Capitanejo, Santander</v>
      </c>
      <c r="E948" s="55">
        <v>68147</v>
      </c>
      <c r="F948" s="56">
        <v>0.25</v>
      </c>
      <c r="G948" s="56">
        <v>0.25</v>
      </c>
      <c r="H948" s="56" t="s">
        <v>39</v>
      </c>
      <c r="I948" s="56">
        <v>0.11</v>
      </c>
      <c r="J948" s="57">
        <v>0.06</v>
      </c>
    </row>
    <row r="949" spans="1:10" ht="17.25" thickBot="1" x14ac:dyDescent="0.35">
      <c r="A949" s="58" t="s">
        <v>918</v>
      </c>
      <c r="B949" s="59">
        <f t="shared" si="42"/>
        <v>0</v>
      </c>
      <c r="C949" s="59" t="str">
        <f t="shared" si="43"/>
        <v>Santander</v>
      </c>
      <c r="D949" s="59" t="str">
        <f t="shared" si="44"/>
        <v>Carcasi, Santander</v>
      </c>
      <c r="E949" s="55">
        <v>68152</v>
      </c>
      <c r="F949" s="56">
        <v>0.25</v>
      </c>
      <c r="G949" s="56">
        <v>0.25</v>
      </c>
      <c r="H949" s="56" t="s">
        <v>39</v>
      </c>
      <c r="I949" s="56">
        <v>0.12</v>
      </c>
      <c r="J949" s="57">
        <v>0.06</v>
      </c>
    </row>
    <row r="950" spans="1:10" ht="17.25" thickBot="1" x14ac:dyDescent="0.35">
      <c r="A950" s="58" t="s">
        <v>919</v>
      </c>
      <c r="B950" s="59">
        <f t="shared" si="42"/>
        <v>0</v>
      </c>
      <c r="C950" s="59" t="str">
        <f t="shared" si="43"/>
        <v>Santander</v>
      </c>
      <c r="D950" s="59" t="str">
        <f t="shared" si="44"/>
        <v>Cepitá, Santander</v>
      </c>
      <c r="E950" s="55">
        <v>68160</v>
      </c>
      <c r="F950" s="56">
        <v>0.25</v>
      </c>
      <c r="G950" s="56">
        <v>0.25</v>
      </c>
      <c r="H950" s="56" t="s">
        <v>39</v>
      </c>
      <c r="I950" s="56">
        <v>0.11</v>
      </c>
      <c r="J950" s="57">
        <v>0.06</v>
      </c>
    </row>
    <row r="951" spans="1:10" ht="17.25" thickBot="1" x14ac:dyDescent="0.35">
      <c r="A951" s="58" t="s">
        <v>920</v>
      </c>
      <c r="B951" s="59">
        <f t="shared" si="42"/>
        <v>0</v>
      </c>
      <c r="C951" s="59" t="str">
        <f t="shared" si="43"/>
        <v>Santander</v>
      </c>
      <c r="D951" s="59" t="str">
        <f t="shared" si="44"/>
        <v>Cerrito, Santander</v>
      </c>
      <c r="E951" s="55">
        <v>68162</v>
      </c>
      <c r="F951" s="56">
        <v>0.25</v>
      </c>
      <c r="G951" s="56">
        <v>0.25</v>
      </c>
      <c r="H951" s="56" t="s">
        <v>39</v>
      </c>
      <c r="I951" s="56">
        <v>0.11</v>
      </c>
      <c r="J951" s="57">
        <v>0.06</v>
      </c>
    </row>
    <row r="952" spans="1:10" ht="17.25" thickBot="1" x14ac:dyDescent="0.35">
      <c r="A952" s="58" t="s">
        <v>921</v>
      </c>
      <c r="B952" s="59">
        <f t="shared" si="42"/>
        <v>0</v>
      </c>
      <c r="C952" s="59" t="str">
        <f t="shared" si="43"/>
        <v>Santander</v>
      </c>
      <c r="D952" s="59" t="str">
        <f t="shared" si="44"/>
        <v>Charalá, Santander</v>
      </c>
      <c r="E952" s="55">
        <v>68167</v>
      </c>
      <c r="F952" s="56">
        <v>0.2</v>
      </c>
      <c r="G952" s="56">
        <v>0.25</v>
      </c>
      <c r="H952" s="56" t="s">
        <v>39</v>
      </c>
      <c r="I952" s="56">
        <v>0.08</v>
      </c>
      <c r="J952" s="57">
        <v>0.05</v>
      </c>
    </row>
    <row r="953" spans="1:10" ht="17.25" thickBot="1" x14ac:dyDescent="0.35">
      <c r="A953" s="58" t="s">
        <v>922</v>
      </c>
      <c r="B953" s="59">
        <f t="shared" si="42"/>
        <v>0</v>
      </c>
      <c r="C953" s="59" t="str">
        <f t="shared" si="43"/>
        <v>Santander</v>
      </c>
      <c r="D953" s="59" t="str">
        <f t="shared" si="44"/>
        <v>Charta, Santander</v>
      </c>
      <c r="E953" s="55">
        <v>68169</v>
      </c>
      <c r="F953" s="56">
        <v>0.25</v>
      </c>
      <c r="G953" s="56">
        <v>0.25</v>
      </c>
      <c r="H953" s="56" t="s">
        <v>39</v>
      </c>
      <c r="I953" s="56">
        <v>0.09</v>
      </c>
      <c r="J953" s="57">
        <v>0.06</v>
      </c>
    </row>
    <row r="954" spans="1:10" ht="17.25" thickBot="1" x14ac:dyDescent="0.35">
      <c r="A954" s="58" t="s">
        <v>923</v>
      </c>
      <c r="B954" s="59">
        <f t="shared" si="42"/>
        <v>0</v>
      </c>
      <c r="C954" s="59" t="str">
        <f t="shared" si="43"/>
        <v>Santander</v>
      </c>
      <c r="D954" s="59" t="str">
        <f t="shared" si="44"/>
        <v>Chima, Santander</v>
      </c>
      <c r="E954" s="55">
        <v>68176</v>
      </c>
      <c r="F954" s="56">
        <v>0.15</v>
      </c>
      <c r="G954" s="56">
        <v>0.2</v>
      </c>
      <c r="H954" s="56" t="s">
        <v>36</v>
      </c>
      <c r="I954" s="56">
        <v>0.2</v>
      </c>
      <c r="J954" s="57">
        <v>0.1</v>
      </c>
    </row>
    <row r="955" spans="1:10" ht="17.25" thickBot="1" x14ac:dyDescent="0.35">
      <c r="A955" s="58" t="s">
        <v>924</v>
      </c>
      <c r="B955" s="59">
        <f t="shared" si="42"/>
        <v>0</v>
      </c>
      <c r="C955" s="59" t="str">
        <f t="shared" si="43"/>
        <v>Santander</v>
      </c>
      <c r="D955" s="59" t="str">
        <f t="shared" si="44"/>
        <v>Chipatá, Santander</v>
      </c>
      <c r="E955" s="55">
        <v>68179</v>
      </c>
      <c r="F955" s="56">
        <v>0.15</v>
      </c>
      <c r="G955" s="56">
        <v>0.2</v>
      </c>
      <c r="H955" s="56" t="s">
        <v>36</v>
      </c>
      <c r="I955" s="56">
        <v>0.11</v>
      </c>
      <c r="J955" s="57">
        <v>7.0000000000000007E-2</v>
      </c>
    </row>
    <row r="956" spans="1:10" ht="17.25" thickBot="1" x14ac:dyDescent="0.35">
      <c r="A956" s="58" t="s">
        <v>925</v>
      </c>
      <c r="B956" s="59">
        <f t="shared" si="42"/>
        <v>0</v>
      </c>
      <c r="C956" s="59" t="str">
        <f t="shared" si="43"/>
        <v>Santander</v>
      </c>
      <c r="D956" s="59" t="str">
        <f t="shared" si="44"/>
        <v>Cimitarra, Santander</v>
      </c>
      <c r="E956" s="55">
        <v>68190</v>
      </c>
      <c r="F956" s="56">
        <v>0.15</v>
      </c>
      <c r="G956" s="56">
        <v>0.15</v>
      </c>
      <c r="H956" s="56" t="s">
        <v>36</v>
      </c>
      <c r="I956" s="56">
        <v>0.06</v>
      </c>
      <c r="J956" s="57">
        <v>0.04</v>
      </c>
    </row>
    <row r="957" spans="1:10" ht="17.25" thickBot="1" x14ac:dyDescent="0.35">
      <c r="A957" s="58" t="s">
        <v>93</v>
      </c>
      <c r="B957" s="59">
        <f t="shared" si="42"/>
        <v>0</v>
      </c>
      <c r="C957" s="59" t="str">
        <f t="shared" si="43"/>
        <v>Santander</v>
      </c>
      <c r="D957" s="59" t="str">
        <f t="shared" si="44"/>
        <v>Concepción, Santander</v>
      </c>
      <c r="E957" s="55">
        <v>68207</v>
      </c>
      <c r="F957" s="56">
        <v>0.25</v>
      </c>
      <c r="G957" s="56">
        <v>0.25</v>
      </c>
      <c r="H957" s="56" t="s">
        <v>39</v>
      </c>
      <c r="I957" s="56">
        <v>0.12</v>
      </c>
      <c r="J957" s="57">
        <v>0.06</v>
      </c>
    </row>
    <row r="958" spans="1:10" ht="17.25" thickBot="1" x14ac:dyDescent="0.35">
      <c r="A958" s="58" t="s">
        <v>926</v>
      </c>
      <c r="B958" s="59">
        <f t="shared" si="42"/>
        <v>0</v>
      </c>
      <c r="C958" s="59" t="str">
        <f t="shared" si="43"/>
        <v>Santander</v>
      </c>
      <c r="D958" s="59" t="str">
        <f t="shared" si="44"/>
        <v>Confines, Santander</v>
      </c>
      <c r="E958" s="55">
        <v>68209</v>
      </c>
      <c r="F958" s="56">
        <v>0.2</v>
      </c>
      <c r="G958" s="56">
        <v>0.2</v>
      </c>
      <c r="H958" s="56" t="s">
        <v>36</v>
      </c>
      <c r="I958" s="56">
        <v>0.09</v>
      </c>
      <c r="J958" s="57">
        <v>0.06</v>
      </c>
    </row>
    <row r="959" spans="1:10" ht="17.25" thickBot="1" x14ac:dyDescent="0.35">
      <c r="A959" s="58" t="s">
        <v>927</v>
      </c>
      <c r="B959" s="59">
        <f t="shared" si="42"/>
        <v>0</v>
      </c>
      <c r="C959" s="59" t="str">
        <f t="shared" si="43"/>
        <v>Santander</v>
      </c>
      <c r="D959" s="59" t="str">
        <f t="shared" si="44"/>
        <v>Contratación, Santander</v>
      </c>
      <c r="E959" s="55">
        <v>68211</v>
      </c>
      <c r="F959" s="56">
        <v>0.15</v>
      </c>
      <c r="G959" s="56">
        <v>0.2</v>
      </c>
      <c r="H959" s="56" t="s">
        <v>36</v>
      </c>
      <c r="I959" s="56">
        <v>0.2</v>
      </c>
      <c r="J959" s="57">
        <v>0.1</v>
      </c>
    </row>
    <row r="960" spans="1:10" ht="17.25" thickBot="1" x14ac:dyDescent="0.35">
      <c r="A960" s="58" t="s">
        <v>928</v>
      </c>
      <c r="B960" s="59">
        <f t="shared" si="42"/>
        <v>0</v>
      </c>
      <c r="C960" s="59" t="str">
        <f t="shared" si="43"/>
        <v>Santander</v>
      </c>
      <c r="D960" s="59" t="str">
        <f t="shared" si="44"/>
        <v>Coromoro, Santander</v>
      </c>
      <c r="E960" s="55">
        <v>68217</v>
      </c>
      <c r="F960" s="56">
        <v>0.2</v>
      </c>
      <c r="G960" s="56">
        <v>0.25</v>
      </c>
      <c r="H960" s="56" t="s">
        <v>39</v>
      </c>
      <c r="I960" s="56">
        <v>0.09</v>
      </c>
      <c r="J960" s="57">
        <v>0.06</v>
      </c>
    </row>
    <row r="961" spans="1:10" ht="17.25" thickBot="1" x14ac:dyDescent="0.35">
      <c r="A961" s="58" t="s">
        <v>929</v>
      </c>
      <c r="B961" s="59">
        <f t="shared" si="42"/>
        <v>0</v>
      </c>
      <c r="C961" s="59" t="str">
        <f t="shared" si="43"/>
        <v>Santander</v>
      </c>
      <c r="D961" s="59" t="str">
        <f t="shared" si="44"/>
        <v>Curití, Santander</v>
      </c>
      <c r="E961" s="55">
        <v>68229</v>
      </c>
      <c r="F961" s="56">
        <v>0.2</v>
      </c>
      <c r="G961" s="56">
        <v>0.25</v>
      </c>
      <c r="H961" s="56" t="s">
        <v>39</v>
      </c>
      <c r="I961" s="56">
        <v>0.1</v>
      </c>
      <c r="J961" s="57">
        <v>0.06</v>
      </c>
    </row>
    <row r="962" spans="1:10" ht="17.25" thickBot="1" x14ac:dyDescent="0.35">
      <c r="A962" s="58" t="s">
        <v>930</v>
      </c>
      <c r="B962" s="59">
        <f t="shared" si="42"/>
        <v>0</v>
      </c>
      <c r="C962" s="59" t="str">
        <f t="shared" si="43"/>
        <v>Santander</v>
      </c>
      <c r="D962" s="59" t="str">
        <f t="shared" si="44"/>
        <v>El Carmen De Chucurí, Santander</v>
      </c>
      <c r="E962" s="55">
        <v>68235</v>
      </c>
      <c r="F962" s="56">
        <v>0.15</v>
      </c>
      <c r="G962" s="56">
        <v>0.15</v>
      </c>
      <c r="H962" s="56" t="s">
        <v>36</v>
      </c>
      <c r="I962" s="56">
        <v>0.17</v>
      </c>
      <c r="J962" s="57">
        <v>0.08</v>
      </c>
    </row>
    <row r="963" spans="1:10" ht="17.25" thickBot="1" x14ac:dyDescent="0.35">
      <c r="A963" s="58" t="s">
        <v>931</v>
      </c>
      <c r="B963" s="59">
        <f t="shared" ref="B963:B1026" si="45">IFERROR(FIND("Departamento",A963),0)</f>
        <v>0</v>
      </c>
      <c r="C963" s="59" t="str">
        <f t="shared" ref="C963:C1026" si="46">IF(B963=1,IF(ISERROR(FIND("del",A963)),MID(A963,17,30),MID(A963,18,30)),C962)</f>
        <v>Santander</v>
      </c>
      <c r="D963" s="59" t="str">
        <f t="shared" ref="D963:D1026" si="47">IF(B963=1,"",CONCATENATE(A963,", ",C963))</f>
        <v>El Florian, Santander</v>
      </c>
      <c r="E963" s="55">
        <v>68271</v>
      </c>
      <c r="F963" s="56">
        <v>0.15</v>
      </c>
      <c r="G963" s="56">
        <v>0.15</v>
      </c>
      <c r="H963" s="56" t="s">
        <v>36</v>
      </c>
      <c r="I963" s="56">
        <v>0.12</v>
      </c>
      <c r="J963" s="57">
        <v>7.0000000000000007E-2</v>
      </c>
    </row>
    <row r="964" spans="1:10" ht="17.25" thickBot="1" x14ac:dyDescent="0.35">
      <c r="A964" s="58" t="s">
        <v>932</v>
      </c>
      <c r="B964" s="59">
        <f t="shared" si="45"/>
        <v>0</v>
      </c>
      <c r="C964" s="59" t="str">
        <f t="shared" si="46"/>
        <v>Santander</v>
      </c>
      <c r="D964" s="59" t="str">
        <f t="shared" si="47"/>
        <v>El Guacamayo, Santander</v>
      </c>
      <c r="E964" s="55">
        <v>68245</v>
      </c>
      <c r="F964" s="56">
        <v>0.15</v>
      </c>
      <c r="G964" s="56">
        <v>0.2</v>
      </c>
      <c r="H964" s="56" t="s">
        <v>36</v>
      </c>
      <c r="I964" s="56">
        <v>0.18</v>
      </c>
      <c r="J964" s="57">
        <v>0.1</v>
      </c>
    </row>
    <row r="965" spans="1:10" ht="17.25" thickBot="1" x14ac:dyDescent="0.35">
      <c r="A965" s="58" t="s">
        <v>226</v>
      </c>
      <c r="B965" s="59">
        <f t="shared" si="45"/>
        <v>0</v>
      </c>
      <c r="C965" s="59" t="str">
        <f t="shared" si="46"/>
        <v>Santander</v>
      </c>
      <c r="D965" s="59" t="str">
        <f t="shared" si="47"/>
        <v>El Peñón, Santander</v>
      </c>
      <c r="E965" s="55">
        <v>68250</v>
      </c>
      <c r="F965" s="56">
        <v>0.15</v>
      </c>
      <c r="G965" s="56">
        <v>0.15</v>
      </c>
      <c r="H965" s="56" t="s">
        <v>36</v>
      </c>
      <c r="I965" s="56">
        <v>0.16</v>
      </c>
      <c r="J965" s="57">
        <v>7.0000000000000007E-2</v>
      </c>
    </row>
    <row r="966" spans="1:10" ht="17.25" thickBot="1" x14ac:dyDescent="0.35">
      <c r="A966" s="58" t="s">
        <v>933</v>
      </c>
      <c r="B966" s="59">
        <f t="shared" si="45"/>
        <v>0</v>
      </c>
      <c r="C966" s="59" t="str">
        <f t="shared" si="46"/>
        <v>Santander</v>
      </c>
      <c r="D966" s="59" t="str">
        <f t="shared" si="47"/>
        <v>El Playón, Santander</v>
      </c>
      <c r="E966" s="55">
        <v>68255</v>
      </c>
      <c r="F966" s="56">
        <v>0.25</v>
      </c>
      <c r="G966" s="56">
        <v>0.25</v>
      </c>
      <c r="H966" s="56" t="s">
        <v>39</v>
      </c>
      <c r="I966" s="56">
        <v>0.14000000000000001</v>
      </c>
      <c r="J966" s="57">
        <v>7.0000000000000007E-2</v>
      </c>
    </row>
    <row r="967" spans="1:10" ht="17.25" thickBot="1" x14ac:dyDescent="0.35">
      <c r="A967" s="58" t="s">
        <v>934</v>
      </c>
      <c r="B967" s="59">
        <f t="shared" si="45"/>
        <v>0</v>
      </c>
      <c r="C967" s="59" t="str">
        <f t="shared" si="46"/>
        <v>Santander</v>
      </c>
      <c r="D967" s="59" t="str">
        <f t="shared" si="47"/>
        <v>Encino, Santander</v>
      </c>
      <c r="E967" s="55">
        <v>68264</v>
      </c>
      <c r="F967" s="56">
        <v>0.2</v>
      </c>
      <c r="G967" s="56">
        <v>0.25</v>
      </c>
      <c r="H967" s="56" t="s">
        <v>39</v>
      </c>
      <c r="I967" s="56">
        <v>0.09</v>
      </c>
      <c r="J967" s="57">
        <v>0.05</v>
      </c>
    </row>
    <row r="968" spans="1:10" ht="17.25" thickBot="1" x14ac:dyDescent="0.35">
      <c r="A968" s="58" t="s">
        <v>935</v>
      </c>
      <c r="B968" s="59">
        <f t="shared" si="45"/>
        <v>0</v>
      </c>
      <c r="C968" s="59" t="str">
        <f t="shared" si="46"/>
        <v>Santander</v>
      </c>
      <c r="D968" s="59" t="str">
        <f t="shared" si="47"/>
        <v>Enciso, Santander</v>
      </c>
      <c r="E968" s="55">
        <v>68266</v>
      </c>
      <c r="F968" s="56">
        <v>0.25</v>
      </c>
      <c r="G968" s="56">
        <v>0.25</v>
      </c>
      <c r="H968" s="56" t="s">
        <v>39</v>
      </c>
      <c r="I968" s="56">
        <v>0.1</v>
      </c>
      <c r="J968" s="57">
        <v>0.05</v>
      </c>
    </row>
    <row r="969" spans="1:10" ht="17.25" thickBot="1" x14ac:dyDescent="0.35">
      <c r="A969" s="58" t="s">
        <v>936</v>
      </c>
      <c r="B969" s="59">
        <f t="shared" si="45"/>
        <v>0</v>
      </c>
      <c r="C969" s="59" t="str">
        <f t="shared" si="46"/>
        <v>Santander</v>
      </c>
      <c r="D969" s="59" t="str">
        <f t="shared" si="47"/>
        <v>Floridablanca, Santander</v>
      </c>
      <c r="E969" s="55">
        <v>68276</v>
      </c>
      <c r="F969" s="56">
        <v>0.25</v>
      </c>
      <c r="G969" s="56">
        <v>0.25</v>
      </c>
      <c r="H969" s="56" t="s">
        <v>39</v>
      </c>
      <c r="I969" s="56">
        <v>0.13</v>
      </c>
      <c r="J969" s="57">
        <v>0.08</v>
      </c>
    </row>
    <row r="970" spans="1:10" ht="17.25" thickBot="1" x14ac:dyDescent="0.35">
      <c r="A970" s="58" t="s">
        <v>937</v>
      </c>
      <c r="B970" s="59">
        <f t="shared" si="45"/>
        <v>0</v>
      </c>
      <c r="C970" s="59" t="str">
        <f t="shared" si="46"/>
        <v>Santander</v>
      </c>
      <c r="D970" s="59" t="str">
        <f t="shared" si="47"/>
        <v>Galán, Santander</v>
      </c>
      <c r="E970" s="55">
        <v>68296</v>
      </c>
      <c r="F970" s="56">
        <v>0.15</v>
      </c>
      <c r="G970" s="56">
        <v>0.2</v>
      </c>
      <c r="H970" s="56" t="s">
        <v>36</v>
      </c>
      <c r="I970" s="56">
        <v>0.2</v>
      </c>
      <c r="J970" s="57">
        <v>0.1</v>
      </c>
    </row>
    <row r="971" spans="1:10" ht="17.25" thickBot="1" x14ac:dyDescent="0.35">
      <c r="A971" s="58" t="s">
        <v>938</v>
      </c>
      <c r="B971" s="59">
        <f t="shared" si="45"/>
        <v>0</v>
      </c>
      <c r="C971" s="59" t="str">
        <f t="shared" si="46"/>
        <v>Santander</v>
      </c>
      <c r="D971" s="59" t="str">
        <f t="shared" si="47"/>
        <v>Gámbita, Santander</v>
      </c>
      <c r="E971" s="55">
        <v>68298</v>
      </c>
      <c r="F971" s="56">
        <v>0.2</v>
      </c>
      <c r="G971" s="56">
        <v>0.2</v>
      </c>
      <c r="H971" s="56" t="s">
        <v>36</v>
      </c>
      <c r="I971" s="56">
        <v>7.0000000000000007E-2</v>
      </c>
      <c r="J971" s="57">
        <v>0.05</v>
      </c>
    </row>
    <row r="972" spans="1:10" ht="17.25" thickBot="1" x14ac:dyDescent="0.35">
      <c r="A972" s="58" t="s">
        <v>939</v>
      </c>
      <c r="B972" s="59">
        <f t="shared" si="45"/>
        <v>0</v>
      </c>
      <c r="C972" s="59" t="str">
        <f t="shared" si="46"/>
        <v>Santander</v>
      </c>
      <c r="D972" s="59" t="str">
        <f t="shared" si="47"/>
        <v>Goepsa, Santander</v>
      </c>
      <c r="E972" s="55">
        <v>68327</v>
      </c>
      <c r="F972" s="56">
        <v>0.15</v>
      </c>
      <c r="G972" s="56">
        <v>0.2</v>
      </c>
      <c r="H972" s="56" t="s">
        <v>36</v>
      </c>
      <c r="I972" s="56">
        <v>0.09</v>
      </c>
      <c r="J972" s="57">
        <v>0.06</v>
      </c>
    </row>
    <row r="973" spans="1:10" ht="17.25" thickBot="1" x14ac:dyDescent="0.35">
      <c r="A973" s="58" t="s">
        <v>940</v>
      </c>
      <c r="B973" s="59">
        <f t="shared" si="45"/>
        <v>0</v>
      </c>
      <c r="C973" s="59" t="str">
        <f t="shared" si="46"/>
        <v>Santander</v>
      </c>
      <c r="D973" s="59" t="str">
        <f t="shared" si="47"/>
        <v>Girón, Santander</v>
      </c>
      <c r="E973" s="55">
        <v>68307</v>
      </c>
      <c r="F973" s="56">
        <v>0.2</v>
      </c>
      <c r="G973" s="56">
        <v>0.25</v>
      </c>
      <c r="H973" s="56" t="s">
        <v>39</v>
      </c>
      <c r="I973" s="56">
        <v>0.18</v>
      </c>
      <c r="J973" s="57">
        <v>0.1</v>
      </c>
    </row>
    <row r="974" spans="1:10" ht="17.25" thickBot="1" x14ac:dyDescent="0.35">
      <c r="A974" s="58" t="s">
        <v>941</v>
      </c>
      <c r="B974" s="59">
        <f t="shared" si="45"/>
        <v>0</v>
      </c>
      <c r="C974" s="59" t="str">
        <f t="shared" si="46"/>
        <v>Santander</v>
      </c>
      <c r="D974" s="59" t="str">
        <f t="shared" si="47"/>
        <v>Guaca, Santander</v>
      </c>
      <c r="E974" s="55">
        <v>68318</v>
      </c>
      <c r="F974" s="56">
        <v>0.25</v>
      </c>
      <c r="G974" s="56">
        <v>0.25</v>
      </c>
      <c r="H974" s="56" t="s">
        <v>39</v>
      </c>
      <c r="I974" s="56">
        <v>0.09</v>
      </c>
      <c r="J974" s="57">
        <v>0.05</v>
      </c>
    </row>
    <row r="975" spans="1:10" ht="17.25" thickBot="1" x14ac:dyDescent="0.35">
      <c r="A975" s="58" t="s">
        <v>108</v>
      </c>
      <c r="B975" s="59">
        <f t="shared" si="45"/>
        <v>0</v>
      </c>
      <c r="C975" s="59" t="str">
        <f t="shared" si="46"/>
        <v>Santander</v>
      </c>
      <c r="D975" s="59" t="str">
        <f t="shared" si="47"/>
        <v>Guadalupe, Santander</v>
      </c>
      <c r="E975" s="55">
        <v>68320</v>
      </c>
      <c r="F975" s="56">
        <v>0.15</v>
      </c>
      <c r="G975" s="56">
        <v>0.2</v>
      </c>
      <c r="H975" s="56" t="s">
        <v>36</v>
      </c>
      <c r="I975" s="56">
        <v>0.16</v>
      </c>
      <c r="J975" s="57">
        <v>0.09</v>
      </c>
    </row>
    <row r="976" spans="1:10" ht="17.25" thickBot="1" x14ac:dyDescent="0.35">
      <c r="A976" s="58" t="s">
        <v>942</v>
      </c>
      <c r="B976" s="59">
        <f t="shared" si="45"/>
        <v>0</v>
      </c>
      <c r="C976" s="59" t="str">
        <f t="shared" si="46"/>
        <v>Santander</v>
      </c>
      <c r="D976" s="59" t="str">
        <f t="shared" si="47"/>
        <v>Guapotá, Santander</v>
      </c>
      <c r="E976" s="55">
        <v>68322</v>
      </c>
      <c r="F976" s="56">
        <v>0.15</v>
      </c>
      <c r="G976" s="56">
        <v>0.2</v>
      </c>
      <c r="H976" s="56" t="s">
        <v>36</v>
      </c>
      <c r="I976" s="56">
        <v>0.12</v>
      </c>
      <c r="J976" s="57">
        <v>0.08</v>
      </c>
    </row>
    <row r="977" spans="1:10" ht="17.25" thickBot="1" x14ac:dyDescent="0.35">
      <c r="A977" s="58" t="s">
        <v>943</v>
      </c>
      <c r="B977" s="59">
        <f t="shared" si="45"/>
        <v>0</v>
      </c>
      <c r="C977" s="59" t="str">
        <f t="shared" si="46"/>
        <v>Santander</v>
      </c>
      <c r="D977" s="59" t="str">
        <f t="shared" si="47"/>
        <v>Guavatá, Santander</v>
      </c>
      <c r="E977" s="55">
        <v>68324</v>
      </c>
      <c r="F977" s="56">
        <v>0.15</v>
      </c>
      <c r="G977" s="56">
        <v>0.15</v>
      </c>
      <c r="H977" s="56" t="s">
        <v>36</v>
      </c>
      <c r="I977" s="56">
        <v>0.1</v>
      </c>
      <c r="J977" s="57">
        <v>0.06</v>
      </c>
    </row>
    <row r="978" spans="1:10" ht="17.25" thickBot="1" x14ac:dyDescent="0.35">
      <c r="A978" s="58" t="s">
        <v>944</v>
      </c>
      <c r="B978" s="59">
        <f t="shared" si="45"/>
        <v>0</v>
      </c>
      <c r="C978" s="59" t="str">
        <f t="shared" si="46"/>
        <v>Santander</v>
      </c>
      <c r="D978" s="59" t="str">
        <f t="shared" si="47"/>
        <v>Hato, Santander</v>
      </c>
      <c r="E978" s="55">
        <v>68344</v>
      </c>
      <c r="F978" s="56">
        <v>0.15</v>
      </c>
      <c r="G978" s="56">
        <v>0.2</v>
      </c>
      <c r="H978" s="56" t="s">
        <v>36</v>
      </c>
      <c r="I978" s="56">
        <v>0.21</v>
      </c>
      <c r="J978" s="57">
        <v>0.1</v>
      </c>
    </row>
    <row r="979" spans="1:10" ht="17.25" thickBot="1" x14ac:dyDescent="0.35">
      <c r="A979" s="58" t="s">
        <v>945</v>
      </c>
      <c r="B979" s="59">
        <f t="shared" si="45"/>
        <v>0</v>
      </c>
      <c r="C979" s="59" t="str">
        <f t="shared" si="46"/>
        <v>Santander</v>
      </c>
      <c r="D979" s="59" t="str">
        <f t="shared" si="47"/>
        <v>Jesús Maria, Santander</v>
      </c>
      <c r="E979" s="55">
        <v>68368</v>
      </c>
      <c r="F979" s="56">
        <v>0.15</v>
      </c>
      <c r="G979" s="56">
        <v>0.15</v>
      </c>
      <c r="H979" s="56" t="s">
        <v>36</v>
      </c>
      <c r="I979" s="56">
        <v>0.1</v>
      </c>
      <c r="J979" s="57">
        <v>0.06</v>
      </c>
    </row>
    <row r="980" spans="1:10" ht="17.25" thickBot="1" x14ac:dyDescent="0.35">
      <c r="A980" s="58" t="s">
        <v>946</v>
      </c>
      <c r="B980" s="59">
        <f t="shared" si="45"/>
        <v>0</v>
      </c>
      <c r="C980" s="59" t="str">
        <f t="shared" si="46"/>
        <v>Santander</v>
      </c>
      <c r="D980" s="59" t="str">
        <f t="shared" si="47"/>
        <v>Jordán, Santander</v>
      </c>
      <c r="E980" s="55">
        <v>68370</v>
      </c>
      <c r="F980" s="56">
        <v>0.2</v>
      </c>
      <c r="G980" s="56">
        <v>0.25</v>
      </c>
      <c r="H980" s="56" t="s">
        <v>39</v>
      </c>
      <c r="I980" s="56">
        <v>0.1</v>
      </c>
      <c r="J980" s="57">
        <v>7.0000000000000007E-2</v>
      </c>
    </row>
    <row r="981" spans="1:10" ht="17.25" thickBot="1" x14ac:dyDescent="0.35">
      <c r="A981" s="58" t="s">
        <v>947</v>
      </c>
      <c r="B981" s="59">
        <f t="shared" si="45"/>
        <v>0</v>
      </c>
      <c r="C981" s="59" t="str">
        <f t="shared" si="46"/>
        <v>Santander</v>
      </c>
      <c r="D981" s="59" t="str">
        <f t="shared" si="47"/>
        <v>La Belleza, Santander</v>
      </c>
      <c r="E981" s="55">
        <v>68377</v>
      </c>
      <c r="F981" s="56">
        <v>0.15</v>
      </c>
      <c r="G981" s="56">
        <v>0.15</v>
      </c>
      <c r="H981" s="56" t="s">
        <v>36</v>
      </c>
      <c r="I981" s="56">
        <v>0.16</v>
      </c>
      <c r="J981" s="57">
        <v>7.0000000000000007E-2</v>
      </c>
    </row>
    <row r="982" spans="1:10" ht="17.25" thickBot="1" x14ac:dyDescent="0.35">
      <c r="A982" s="58" t="s">
        <v>488</v>
      </c>
      <c r="B982" s="59">
        <f t="shared" si="45"/>
        <v>0</v>
      </c>
      <c r="C982" s="59" t="str">
        <f t="shared" si="46"/>
        <v>Santander</v>
      </c>
      <c r="D982" s="59" t="str">
        <f t="shared" si="47"/>
        <v>La Paz, Santander</v>
      </c>
      <c r="E982" s="55">
        <v>68397</v>
      </c>
      <c r="F982" s="56">
        <v>0.15</v>
      </c>
      <c r="G982" s="56">
        <v>0.15</v>
      </c>
      <c r="H982" s="56" t="s">
        <v>36</v>
      </c>
      <c r="I982" s="56">
        <v>0.14000000000000001</v>
      </c>
      <c r="J982" s="57">
        <v>0.09</v>
      </c>
    </row>
    <row r="983" spans="1:10" ht="17.25" thickBot="1" x14ac:dyDescent="0.35">
      <c r="A983" s="58" t="s">
        <v>948</v>
      </c>
      <c r="B983" s="59">
        <f t="shared" si="45"/>
        <v>0</v>
      </c>
      <c r="C983" s="59" t="str">
        <f t="shared" si="46"/>
        <v>Santander</v>
      </c>
      <c r="D983" s="59" t="str">
        <f t="shared" si="47"/>
        <v>Landázuri, Santander</v>
      </c>
      <c r="E983" s="55">
        <v>68385</v>
      </c>
      <c r="F983" s="56">
        <v>0.15</v>
      </c>
      <c r="G983" s="56">
        <v>0.15</v>
      </c>
      <c r="H983" s="56" t="s">
        <v>36</v>
      </c>
      <c r="I983" s="56">
        <v>0.1</v>
      </c>
      <c r="J983" s="57">
        <v>0.06</v>
      </c>
    </row>
    <row r="984" spans="1:10" ht="17.25" thickBot="1" x14ac:dyDescent="0.35">
      <c r="A984" s="58" t="s">
        <v>949</v>
      </c>
      <c r="B984" s="59">
        <f t="shared" si="45"/>
        <v>0</v>
      </c>
      <c r="C984" s="59" t="str">
        <f t="shared" si="46"/>
        <v>Santander</v>
      </c>
      <c r="D984" s="59" t="str">
        <f t="shared" si="47"/>
        <v>Lebrija, Santander</v>
      </c>
      <c r="E984" s="55">
        <v>68406</v>
      </c>
      <c r="F984" s="56">
        <v>0.25</v>
      </c>
      <c r="G984" s="56">
        <v>0.2</v>
      </c>
      <c r="H984" s="56" t="s">
        <v>39</v>
      </c>
      <c r="I984" s="56">
        <v>0.13</v>
      </c>
      <c r="J984" s="57">
        <v>0.09</v>
      </c>
    </row>
    <row r="985" spans="1:10" ht="17.25" thickBot="1" x14ac:dyDescent="0.35">
      <c r="A985" s="58" t="s">
        <v>950</v>
      </c>
      <c r="B985" s="59">
        <f t="shared" si="45"/>
        <v>0</v>
      </c>
      <c r="C985" s="59" t="str">
        <f t="shared" si="46"/>
        <v>Santander</v>
      </c>
      <c r="D985" s="59" t="str">
        <f t="shared" si="47"/>
        <v>Los Santos, Santander</v>
      </c>
      <c r="E985" s="55">
        <v>68418</v>
      </c>
      <c r="F985" s="56">
        <v>0.2</v>
      </c>
      <c r="G985" s="56">
        <v>0.25</v>
      </c>
      <c r="H985" s="56" t="s">
        <v>39</v>
      </c>
      <c r="I985" s="56">
        <v>0.11</v>
      </c>
      <c r="J985" s="57">
        <v>0.08</v>
      </c>
    </row>
    <row r="986" spans="1:10" ht="17.25" thickBot="1" x14ac:dyDescent="0.35">
      <c r="A986" s="58" t="s">
        <v>951</v>
      </c>
      <c r="B986" s="59">
        <f t="shared" si="45"/>
        <v>0</v>
      </c>
      <c r="C986" s="59" t="str">
        <f t="shared" si="46"/>
        <v>Santander</v>
      </c>
      <c r="D986" s="59" t="str">
        <f t="shared" si="47"/>
        <v>Macaravita, Santander</v>
      </c>
      <c r="E986" s="55">
        <v>68425</v>
      </c>
      <c r="F986" s="56">
        <v>0.25</v>
      </c>
      <c r="G986" s="56">
        <v>0.25</v>
      </c>
      <c r="H986" s="56" t="s">
        <v>39</v>
      </c>
      <c r="I986" s="56">
        <v>0.12</v>
      </c>
      <c r="J986" s="57">
        <v>0.06</v>
      </c>
    </row>
    <row r="987" spans="1:10" ht="17.25" thickBot="1" x14ac:dyDescent="0.35">
      <c r="A987" s="58" t="s">
        <v>952</v>
      </c>
      <c r="B987" s="59">
        <f t="shared" si="45"/>
        <v>0</v>
      </c>
      <c r="C987" s="59" t="str">
        <f t="shared" si="46"/>
        <v>Santander</v>
      </c>
      <c r="D987" s="59" t="str">
        <f t="shared" si="47"/>
        <v>Málaga, Santander</v>
      </c>
      <c r="E987" s="55">
        <v>68432</v>
      </c>
      <c r="F987" s="56">
        <v>0.25</v>
      </c>
      <c r="G987" s="56">
        <v>0.25</v>
      </c>
      <c r="H987" s="56" t="s">
        <v>39</v>
      </c>
      <c r="I987" s="56">
        <v>0.09</v>
      </c>
      <c r="J987" s="57">
        <v>0.05</v>
      </c>
    </row>
    <row r="988" spans="1:10" ht="17.25" thickBot="1" x14ac:dyDescent="0.35">
      <c r="A988" s="58" t="s">
        <v>953</v>
      </c>
      <c r="B988" s="59">
        <f t="shared" si="45"/>
        <v>0</v>
      </c>
      <c r="C988" s="59" t="str">
        <f t="shared" si="46"/>
        <v>Santander</v>
      </c>
      <c r="D988" s="59" t="str">
        <f t="shared" si="47"/>
        <v>Matanza, Santander</v>
      </c>
      <c r="E988" s="55">
        <v>68444</v>
      </c>
      <c r="F988" s="56">
        <v>0.25</v>
      </c>
      <c r="G988" s="56">
        <v>0.25</v>
      </c>
      <c r="H988" s="56" t="s">
        <v>39</v>
      </c>
      <c r="I988" s="56">
        <v>0.1</v>
      </c>
      <c r="J988" s="57">
        <v>0.06</v>
      </c>
    </row>
    <row r="989" spans="1:10" ht="17.25" thickBot="1" x14ac:dyDescent="0.35">
      <c r="A989" s="58" t="s">
        <v>954</v>
      </c>
      <c r="B989" s="59">
        <f t="shared" si="45"/>
        <v>0</v>
      </c>
      <c r="C989" s="59" t="str">
        <f t="shared" si="46"/>
        <v>Santander</v>
      </c>
      <c r="D989" s="59" t="str">
        <f t="shared" si="47"/>
        <v>Mogotes, Santander</v>
      </c>
      <c r="E989" s="55">
        <v>68464</v>
      </c>
      <c r="F989" s="56">
        <v>0.25</v>
      </c>
      <c r="G989" s="56">
        <v>0.25</v>
      </c>
      <c r="H989" s="56" t="s">
        <v>39</v>
      </c>
      <c r="I989" s="56">
        <v>0.1</v>
      </c>
      <c r="J989" s="57">
        <v>0.06</v>
      </c>
    </row>
    <row r="990" spans="1:10" ht="17.25" thickBot="1" x14ac:dyDescent="0.35">
      <c r="A990" s="58" t="s">
        <v>955</v>
      </c>
      <c r="B990" s="59">
        <f t="shared" si="45"/>
        <v>0</v>
      </c>
      <c r="C990" s="59" t="str">
        <f t="shared" si="46"/>
        <v>Santander</v>
      </c>
      <c r="D990" s="59" t="str">
        <f t="shared" si="47"/>
        <v>Molagavita, Santander</v>
      </c>
      <c r="E990" s="55">
        <v>68468</v>
      </c>
      <c r="F990" s="56">
        <v>0.25</v>
      </c>
      <c r="G990" s="56">
        <v>0.25</v>
      </c>
      <c r="H990" s="56" t="s">
        <v>39</v>
      </c>
      <c r="I990" s="56">
        <v>0.1</v>
      </c>
      <c r="J990" s="57">
        <v>0.06</v>
      </c>
    </row>
    <row r="991" spans="1:10" ht="17.25" thickBot="1" x14ac:dyDescent="0.35">
      <c r="A991" s="58" t="s">
        <v>956</v>
      </c>
      <c r="B991" s="59">
        <f t="shared" si="45"/>
        <v>0</v>
      </c>
      <c r="C991" s="59" t="str">
        <f t="shared" si="46"/>
        <v>Santander</v>
      </c>
      <c r="D991" s="59" t="str">
        <f t="shared" si="47"/>
        <v>Ocamonte, Santander</v>
      </c>
      <c r="E991" s="55">
        <v>68498</v>
      </c>
      <c r="F991" s="56">
        <v>0.2</v>
      </c>
      <c r="G991" s="56">
        <v>0.25</v>
      </c>
      <c r="H991" s="56" t="s">
        <v>39</v>
      </c>
      <c r="I991" s="56">
        <v>0.08</v>
      </c>
      <c r="J991" s="57">
        <v>0.05</v>
      </c>
    </row>
    <row r="992" spans="1:10" ht="17.25" thickBot="1" x14ac:dyDescent="0.35">
      <c r="A992" s="58" t="s">
        <v>957</v>
      </c>
      <c r="B992" s="59">
        <f t="shared" si="45"/>
        <v>0</v>
      </c>
      <c r="C992" s="59" t="str">
        <f t="shared" si="46"/>
        <v>Santander</v>
      </c>
      <c r="D992" s="59" t="str">
        <f t="shared" si="47"/>
        <v>Oiba, Santander</v>
      </c>
      <c r="E992" s="55">
        <v>68500</v>
      </c>
      <c r="F992" s="56">
        <v>0.2</v>
      </c>
      <c r="G992" s="56">
        <v>0.2</v>
      </c>
      <c r="H992" s="56" t="s">
        <v>36</v>
      </c>
      <c r="I992" s="56">
        <v>0.09</v>
      </c>
      <c r="J992" s="57">
        <v>0.06</v>
      </c>
    </row>
    <row r="993" spans="1:10" ht="17.25" thickBot="1" x14ac:dyDescent="0.35">
      <c r="A993" s="58" t="s">
        <v>958</v>
      </c>
      <c r="B993" s="59">
        <f t="shared" si="45"/>
        <v>0</v>
      </c>
      <c r="C993" s="59" t="str">
        <f t="shared" si="46"/>
        <v>Santander</v>
      </c>
      <c r="D993" s="59" t="str">
        <f t="shared" si="47"/>
        <v>Onzága, Santander</v>
      </c>
      <c r="E993" s="55">
        <v>68502</v>
      </c>
      <c r="F993" s="56">
        <v>0.25</v>
      </c>
      <c r="G993" s="56">
        <v>0.25</v>
      </c>
      <c r="H993" s="56" t="s">
        <v>39</v>
      </c>
      <c r="I993" s="56">
        <v>0.13</v>
      </c>
      <c r="J993" s="57">
        <v>7.0000000000000007E-2</v>
      </c>
    </row>
    <row r="994" spans="1:10" ht="17.25" thickBot="1" x14ac:dyDescent="0.35">
      <c r="A994" s="58" t="s">
        <v>959</v>
      </c>
      <c r="B994" s="59">
        <f t="shared" si="45"/>
        <v>0</v>
      </c>
      <c r="C994" s="59" t="str">
        <f t="shared" si="46"/>
        <v>Santander</v>
      </c>
      <c r="D994" s="59" t="str">
        <f t="shared" si="47"/>
        <v>Palmar, Santander</v>
      </c>
      <c r="E994" s="55">
        <v>68522</v>
      </c>
      <c r="F994" s="56">
        <v>0.15</v>
      </c>
      <c r="G994" s="56">
        <v>0.2</v>
      </c>
      <c r="H994" s="56" t="s">
        <v>36</v>
      </c>
      <c r="I994" s="56">
        <v>0.15</v>
      </c>
      <c r="J994" s="57">
        <v>0.09</v>
      </c>
    </row>
    <row r="995" spans="1:10" ht="17.25" thickBot="1" x14ac:dyDescent="0.35">
      <c r="A995" s="58" t="s">
        <v>960</v>
      </c>
      <c r="B995" s="59">
        <f t="shared" si="45"/>
        <v>0</v>
      </c>
      <c r="C995" s="59" t="str">
        <f t="shared" si="46"/>
        <v>Santander</v>
      </c>
      <c r="D995" s="59" t="str">
        <f t="shared" si="47"/>
        <v>Palmas del Socorro, Santander</v>
      </c>
      <c r="E995" s="55">
        <v>68524</v>
      </c>
      <c r="F995" s="56">
        <v>0.15</v>
      </c>
      <c r="G995" s="56">
        <v>0.2</v>
      </c>
      <c r="H995" s="56" t="s">
        <v>36</v>
      </c>
      <c r="I995" s="56">
        <v>0.11</v>
      </c>
      <c r="J995" s="57">
        <v>0.08</v>
      </c>
    </row>
    <row r="996" spans="1:10" ht="17.25" thickBot="1" x14ac:dyDescent="0.35">
      <c r="A996" s="58" t="s">
        <v>961</v>
      </c>
      <c r="B996" s="59">
        <f t="shared" si="45"/>
        <v>0</v>
      </c>
      <c r="C996" s="59" t="str">
        <f t="shared" si="46"/>
        <v>Santander</v>
      </c>
      <c r="D996" s="59" t="str">
        <f t="shared" si="47"/>
        <v>Páramo, Santander</v>
      </c>
      <c r="E996" s="55">
        <v>68533</v>
      </c>
      <c r="F996" s="56">
        <v>0.2</v>
      </c>
      <c r="G996" s="56">
        <v>0.25</v>
      </c>
      <c r="H996" s="56" t="s">
        <v>39</v>
      </c>
      <c r="I996" s="56">
        <v>0.09</v>
      </c>
      <c r="J996" s="57">
        <v>0.06</v>
      </c>
    </row>
    <row r="997" spans="1:10" ht="17.25" thickBot="1" x14ac:dyDescent="0.35">
      <c r="A997" s="58" t="s">
        <v>962</v>
      </c>
      <c r="B997" s="59">
        <f t="shared" si="45"/>
        <v>0</v>
      </c>
      <c r="C997" s="59" t="str">
        <f t="shared" si="46"/>
        <v>Santander</v>
      </c>
      <c r="D997" s="59" t="str">
        <f t="shared" si="47"/>
        <v>Piedecuesta, Santander</v>
      </c>
      <c r="E997" s="55">
        <v>68547</v>
      </c>
      <c r="F997" s="56">
        <v>0.25</v>
      </c>
      <c r="G997" s="56">
        <v>0.25</v>
      </c>
      <c r="H997" s="56" t="s">
        <v>39</v>
      </c>
      <c r="I997" s="56">
        <v>0.11</v>
      </c>
      <c r="J997" s="57">
        <v>7.0000000000000007E-2</v>
      </c>
    </row>
    <row r="998" spans="1:10" ht="17.25" thickBot="1" x14ac:dyDescent="0.35">
      <c r="A998" s="58" t="s">
        <v>963</v>
      </c>
      <c r="B998" s="59">
        <f t="shared" si="45"/>
        <v>0</v>
      </c>
      <c r="C998" s="59" t="str">
        <f t="shared" si="46"/>
        <v>Santander</v>
      </c>
      <c r="D998" s="59" t="str">
        <f t="shared" si="47"/>
        <v>Pinchote, Santander</v>
      </c>
      <c r="E998" s="55">
        <v>68549</v>
      </c>
      <c r="F998" s="56">
        <v>0.2</v>
      </c>
      <c r="G998" s="56">
        <v>0.25</v>
      </c>
      <c r="H998" s="56" t="s">
        <v>39</v>
      </c>
      <c r="I998" s="56">
        <v>0.09</v>
      </c>
      <c r="J998" s="57">
        <v>0.06</v>
      </c>
    </row>
    <row r="999" spans="1:10" ht="17.25" thickBot="1" x14ac:dyDescent="0.35">
      <c r="A999" s="58" t="s">
        <v>964</v>
      </c>
      <c r="B999" s="59">
        <f t="shared" si="45"/>
        <v>0</v>
      </c>
      <c r="C999" s="59" t="str">
        <f t="shared" si="46"/>
        <v>Santander</v>
      </c>
      <c r="D999" s="59" t="str">
        <f t="shared" si="47"/>
        <v>Puente Nacional, Santander</v>
      </c>
      <c r="E999" s="55">
        <v>68572</v>
      </c>
      <c r="F999" s="56">
        <v>0.15</v>
      </c>
      <c r="G999" s="56">
        <v>0.2</v>
      </c>
      <c r="H999" s="56" t="s">
        <v>36</v>
      </c>
      <c r="I999" s="56">
        <v>0.08</v>
      </c>
      <c r="J999" s="57">
        <v>0.05</v>
      </c>
    </row>
    <row r="1000" spans="1:10" ht="17.25" thickBot="1" x14ac:dyDescent="0.35">
      <c r="A1000" s="58" t="s">
        <v>965</v>
      </c>
      <c r="B1000" s="59">
        <f t="shared" si="45"/>
        <v>0</v>
      </c>
      <c r="C1000" s="59" t="str">
        <f t="shared" si="46"/>
        <v>Santander</v>
      </c>
      <c r="D1000" s="59" t="str">
        <f t="shared" si="47"/>
        <v>Puerto Parra, Santander</v>
      </c>
      <c r="E1000" s="55">
        <v>68573</v>
      </c>
      <c r="F1000" s="56">
        <v>0.15</v>
      </c>
      <c r="G1000" s="56">
        <v>0.15</v>
      </c>
      <c r="H1000" s="56" t="s">
        <v>36</v>
      </c>
      <c r="I1000" s="56">
        <v>0.05</v>
      </c>
      <c r="J1000" s="57">
        <v>0.04</v>
      </c>
    </row>
    <row r="1001" spans="1:10" ht="17.25" thickBot="1" x14ac:dyDescent="0.35">
      <c r="A1001" s="58" t="s">
        <v>966</v>
      </c>
      <c r="B1001" s="59">
        <f t="shared" si="45"/>
        <v>0</v>
      </c>
      <c r="C1001" s="59" t="str">
        <f t="shared" si="46"/>
        <v>Santander</v>
      </c>
      <c r="D1001" s="59" t="str">
        <f t="shared" si="47"/>
        <v>Puerto Wilches, Santander</v>
      </c>
      <c r="E1001" s="55">
        <v>68575</v>
      </c>
      <c r="F1001" s="56">
        <v>0.15</v>
      </c>
      <c r="G1001" s="56">
        <v>0.15</v>
      </c>
      <c r="H1001" s="56" t="s">
        <v>36</v>
      </c>
      <c r="I1001" s="56">
        <v>0.04</v>
      </c>
      <c r="J1001" s="57">
        <v>0.03</v>
      </c>
    </row>
    <row r="1002" spans="1:10" ht="17.25" thickBot="1" x14ac:dyDescent="0.35">
      <c r="A1002" s="58" t="s">
        <v>138</v>
      </c>
      <c r="B1002" s="59">
        <f t="shared" si="45"/>
        <v>0</v>
      </c>
      <c r="C1002" s="59" t="str">
        <f t="shared" si="46"/>
        <v>Santander</v>
      </c>
      <c r="D1002" s="59" t="str">
        <f t="shared" si="47"/>
        <v>Rionegro, Santander</v>
      </c>
      <c r="E1002" s="55">
        <v>68615</v>
      </c>
      <c r="F1002" s="56">
        <v>0.2</v>
      </c>
      <c r="G1002" s="56">
        <v>0.2</v>
      </c>
      <c r="H1002" s="56" t="s">
        <v>36</v>
      </c>
      <c r="I1002" s="56">
        <v>7.0000000000000007E-2</v>
      </c>
      <c r="J1002" s="57">
        <v>0.04</v>
      </c>
    </row>
    <row r="1003" spans="1:10" ht="17.25" thickBot="1" x14ac:dyDescent="0.35">
      <c r="A1003" s="58" t="s">
        <v>967</v>
      </c>
      <c r="B1003" s="59">
        <f t="shared" si="45"/>
        <v>0</v>
      </c>
      <c r="C1003" s="59" t="str">
        <f t="shared" si="46"/>
        <v>Santander</v>
      </c>
      <c r="D1003" s="59" t="str">
        <f t="shared" si="47"/>
        <v>Sabana De Torres, Santander</v>
      </c>
      <c r="E1003" s="55">
        <v>68655</v>
      </c>
      <c r="F1003" s="56">
        <v>0.2</v>
      </c>
      <c r="G1003" s="56">
        <v>0.15</v>
      </c>
      <c r="H1003" s="56" t="s">
        <v>36</v>
      </c>
      <c r="I1003" s="56">
        <v>0.06</v>
      </c>
      <c r="J1003" s="57">
        <v>0.04</v>
      </c>
    </row>
    <row r="1004" spans="1:10" ht="17.25" thickBot="1" x14ac:dyDescent="0.35">
      <c r="A1004" s="58" t="s">
        <v>142</v>
      </c>
      <c r="B1004" s="59">
        <f t="shared" si="45"/>
        <v>0</v>
      </c>
      <c r="C1004" s="59" t="str">
        <f t="shared" si="46"/>
        <v>Santander</v>
      </c>
      <c r="D1004" s="59" t="str">
        <f t="shared" si="47"/>
        <v>San Andrés, Santander</v>
      </c>
      <c r="E1004" s="55">
        <v>68669</v>
      </c>
      <c r="F1004" s="56">
        <v>0.25</v>
      </c>
      <c r="G1004" s="56">
        <v>0.25</v>
      </c>
      <c r="H1004" s="56" t="s">
        <v>39</v>
      </c>
      <c r="I1004" s="56">
        <v>0.09</v>
      </c>
      <c r="J1004" s="57">
        <v>0.05</v>
      </c>
    </row>
    <row r="1005" spans="1:10" ht="17.25" thickBot="1" x14ac:dyDescent="0.35">
      <c r="A1005" s="58" t="s">
        <v>968</v>
      </c>
      <c r="B1005" s="59">
        <f t="shared" si="45"/>
        <v>0</v>
      </c>
      <c r="C1005" s="59" t="str">
        <f t="shared" si="46"/>
        <v>Santander</v>
      </c>
      <c r="D1005" s="59" t="str">
        <f t="shared" si="47"/>
        <v>San Benito, Santander</v>
      </c>
      <c r="E1005" s="55">
        <v>68673</v>
      </c>
      <c r="F1005" s="56">
        <v>0.15</v>
      </c>
      <c r="G1005" s="56">
        <v>0.2</v>
      </c>
      <c r="H1005" s="56" t="s">
        <v>36</v>
      </c>
      <c r="I1005" s="56">
        <v>0.12</v>
      </c>
      <c r="J1005" s="57">
        <v>7.0000000000000007E-2</v>
      </c>
    </row>
    <row r="1006" spans="1:10" ht="17.25" thickBot="1" x14ac:dyDescent="0.35">
      <c r="A1006" s="58" t="s">
        <v>969</v>
      </c>
      <c r="B1006" s="59">
        <f t="shared" si="45"/>
        <v>0</v>
      </c>
      <c r="C1006" s="59" t="str">
        <f t="shared" si="46"/>
        <v>Santander</v>
      </c>
      <c r="D1006" s="59" t="str">
        <f t="shared" si="47"/>
        <v>San Gil, Santander</v>
      </c>
      <c r="E1006" s="55">
        <v>68679</v>
      </c>
      <c r="F1006" s="56">
        <v>0.2</v>
      </c>
      <c r="G1006" s="56">
        <v>0.25</v>
      </c>
      <c r="H1006" s="56" t="s">
        <v>39</v>
      </c>
      <c r="I1006" s="56">
        <v>0.09</v>
      </c>
      <c r="J1006" s="57">
        <v>0.06</v>
      </c>
    </row>
    <row r="1007" spans="1:10" ht="17.25" thickBot="1" x14ac:dyDescent="0.35">
      <c r="A1007" s="58" t="s">
        <v>970</v>
      </c>
      <c r="B1007" s="59">
        <f t="shared" si="45"/>
        <v>0</v>
      </c>
      <c r="C1007" s="59" t="str">
        <f t="shared" si="46"/>
        <v>Santander</v>
      </c>
      <c r="D1007" s="59" t="str">
        <f t="shared" si="47"/>
        <v>San Joaquín, Santander</v>
      </c>
      <c r="E1007" s="55">
        <v>68682</v>
      </c>
      <c r="F1007" s="56">
        <v>0.25</v>
      </c>
      <c r="G1007" s="56">
        <v>0.25</v>
      </c>
      <c r="H1007" s="56" t="s">
        <v>39</v>
      </c>
      <c r="I1007" s="56">
        <v>0.13</v>
      </c>
      <c r="J1007" s="57">
        <v>7.0000000000000007E-2</v>
      </c>
    </row>
    <row r="1008" spans="1:10" ht="17.25" thickBot="1" x14ac:dyDescent="0.35">
      <c r="A1008" s="58" t="s">
        <v>971</v>
      </c>
      <c r="B1008" s="59">
        <f t="shared" si="45"/>
        <v>0</v>
      </c>
      <c r="C1008" s="59" t="str">
        <f t="shared" si="46"/>
        <v>Santander</v>
      </c>
      <c r="D1008" s="59" t="str">
        <f t="shared" si="47"/>
        <v>San José De Miranda, Santander</v>
      </c>
      <c r="E1008" s="55">
        <v>68684</v>
      </c>
      <c r="F1008" s="56">
        <v>0.25</v>
      </c>
      <c r="G1008" s="56">
        <v>0.25</v>
      </c>
      <c r="H1008" s="56" t="s">
        <v>39</v>
      </c>
      <c r="I1008" s="56">
        <v>0.1</v>
      </c>
      <c r="J1008" s="57">
        <v>0.05</v>
      </c>
    </row>
    <row r="1009" spans="1:10" ht="17.25" thickBot="1" x14ac:dyDescent="0.35">
      <c r="A1009" s="58" t="s">
        <v>883</v>
      </c>
      <c r="B1009" s="59">
        <f t="shared" si="45"/>
        <v>0</v>
      </c>
      <c r="C1009" s="59" t="str">
        <f t="shared" si="46"/>
        <v>Santander</v>
      </c>
      <c r="D1009" s="59" t="str">
        <f t="shared" si="47"/>
        <v>San Miguel, Santander</v>
      </c>
      <c r="E1009" s="55">
        <v>68686</v>
      </c>
      <c r="F1009" s="56">
        <v>0.25</v>
      </c>
      <c r="G1009" s="56">
        <v>0.25</v>
      </c>
      <c r="H1009" s="56" t="s">
        <v>39</v>
      </c>
      <c r="I1009" s="56">
        <v>0.11</v>
      </c>
      <c r="J1009" s="57">
        <v>0.06</v>
      </c>
    </row>
    <row r="1010" spans="1:10" ht="17.25" thickBot="1" x14ac:dyDescent="0.35">
      <c r="A1010" s="58" t="s">
        <v>972</v>
      </c>
      <c r="B1010" s="59">
        <f t="shared" si="45"/>
        <v>0</v>
      </c>
      <c r="C1010" s="59" t="str">
        <f t="shared" si="46"/>
        <v>Santander</v>
      </c>
      <c r="D1010" s="59" t="str">
        <f t="shared" si="47"/>
        <v>San Vicente De Chucurí, Santander</v>
      </c>
      <c r="E1010" s="55">
        <v>68689</v>
      </c>
      <c r="F1010" s="56">
        <v>0.15</v>
      </c>
      <c r="G1010" s="56">
        <v>0.15</v>
      </c>
      <c r="H1010" s="56" t="s">
        <v>36</v>
      </c>
      <c r="I1010" s="56">
        <v>0.16</v>
      </c>
      <c r="J1010" s="57">
        <v>0.08</v>
      </c>
    </row>
    <row r="1011" spans="1:10" ht="17.25" thickBot="1" x14ac:dyDescent="0.35">
      <c r="A1011" s="58" t="s">
        <v>154</v>
      </c>
      <c r="B1011" s="59">
        <f t="shared" si="45"/>
        <v>0</v>
      </c>
      <c r="C1011" s="59" t="str">
        <f t="shared" si="46"/>
        <v>Santander</v>
      </c>
      <c r="D1011" s="59" t="str">
        <f t="shared" si="47"/>
        <v>Santa Bárbara, Santander</v>
      </c>
      <c r="E1011" s="55">
        <v>68705</v>
      </c>
      <c r="F1011" s="56">
        <v>0.25</v>
      </c>
      <c r="G1011" s="56">
        <v>0.25</v>
      </c>
      <c r="H1011" s="56" t="s">
        <v>39</v>
      </c>
      <c r="I1011" s="56">
        <v>0.09</v>
      </c>
      <c r="J1011" s="57">
        <v>0.05</v>
      </c>
    </row>
    <row r="1012" spans="1:10" ht="17.25" thickBot="1" x14ac:dyDescent="0.35">
      <c r="A1012" s="58" t="s">
        <v>973</v>
      </c>
      <c r="B1012" s="59">
        <f t="shared" si="45"/>
        <v>0</v>
      </c>
      <c r="C1012" s="59" t="str">
        <f t="shared" si="46"/>
        <v>Santander</v>
      </c>
      <c r="D1012" s="59" t="str">
        <f t="shared" si="47"/>
        <v>Santa Helena del Opón, Santander</v>
      </c>
      <c r="E1012" s="55">
        <v>68720</v>
      </c>
      <c r="F1012" s="56">
        <v>0.15</v>
      </c>
      <c r="G1012" s="56">
        <v>0.15</v>
      </c>
      <c r="H1012" s="56" t="s">
        <v>36</v>
      </c>
      <c r="I1012" s="56">
        <v>0.18</v>
      </c>
      <c r="J1012" s="57">
        <v>0.1</v>
      </c>
    </row>
    <row r="1013" spans="1:10" ht="17.25" thickBot="1" x14ac:dyDescent="0.35">
      <c r="A1013" s="58" t="s">
        <v>974</v>
      </c>
      <c r="B1013" s="59">
        <f t="shared" si="45"/>
        <v>0</v>
      </c>
      <c r="C1013" s="59" t="str">
        <f t="shared" si="46"/>
        <v>Santander</v>
      </c>
      <c r="D1013" s="59" t="str">
        <f t="shared" si="47"/>
        <v>Simacota, Santander</v>
      </c>
      <c r="E1013" s="55">
        <v>68745</v>
      </c>
      <c r="F1013" s="56">
        <v>0.15</v>
      </c>
      <c r="G1013" s="56">
        <v>0.15</v>
      </c>
      <c r="H1013" s="56" t="s">
        <v>36</v>
      </c>
      <c r="I1013" s="56">
        <v>0.09</v>
      </c>
      <c r="J1013" s="57">
        <v>0.06</v>
      </c>
    </row>
    <row r="1014" spans="1:10" ht="17.25" thickBot="1" x14ac:dyDescent="0.35">
      <c r="A1014" s="58" t="s">
        <v>975</v>
      </c>
      <c r="B1014" s="59">
        <f t="shared" si="45"/>
        <v>0</v>
      </c>
      <c r="C1014" s="59" t="str">
        <f t="shared" si="46"/>
        <v>Santander</v>
      </c>
      <c r="D1014" s="59" t="str">
        <f t="shared" si="47"/>
        <v>Socorro, Santander</v>
      </c>
      <c r="E1014" s="55">
        <v>68755</v>
      </c>
      <c r="F1014" s="56">
        <v>0.2</v>
      </c>
      <c r="G1014" s="56">
        <v>0.2</v>
      </c>
      <c r="H1014" s="56" t="s">
        <v>36</v>
      </c>
      <c r="I1014" s="56">
        <v>0.11</v>
      </c>
      <c r="J1014" s="57">
        <v>7.0000000000000007E-2</v>
      </c>
    </row>
    <row r="1015" spans="1:10" ht="17.25" thickBot="1" x14ac:dyDescent="0.35">
      <c r="A1015" s="58" t="s">
        <v>976</v>
      </c>
      <c r="B1015" s="59">
        <f t="shared" si="45"/>
        <v>0</v>
      </c>
      <c r="C1015" s="59" t="str">
        <f t="shared" si="46"/>
        <v>Santander</v>
      </c>
      <c r="D1015" s="59" t="str">
        <f t="shared" si="47"/>
        <v>Suaita, Santander</v>
      </c>
      <c r="E1015" s="55">
        <v>68770</v>
      </c>
      <c r="F1015" s="56">
        <v>0.15</v>
      </c>
      <c r="G1015" s="56">
        <v>0.2</v>
      </c>
      <c r="H1015" s="56" t="s">
        <v>36</v>
      </c>
      <c r="I1015" s="56">
        <v>0.09</v>
      </c>
      <c r="J1015" s="57">
        <v>0.06</v>
      </c>
    </row>
    <row r="1016" spans="1:10" ht="17.25" thickBot="1" x14ac:dyDescent="0.35">
      <c r="A1016" s="58" t="s">
        <v>54</v>
      </c>
      <c r="B1016" s="59">
        <f t="shared" si="45"/>
        <v>0</v>
      </c>
      <c r="C1016" s="59" t="str">
        <f t="shared" si="46"/>
        <v>Santander</v>
      </c>
      <c r="D1016" s="59" t="str">
        <f t="shared" si="47"/>
        <v>Sucre, Santander</v>
      </c>
      <c r="E1016" s="55">
        <v>68773</v>
      </c>
      <c r="F1016" s="56">
        <v>0.15</v>
      </c>
      <c r="G1016" s="56">
        <v>0.15</v>
      </c>
      <c r="H1016" s="56" t="s">
        <v>36</v>
      </c>
      <c r="I1016" s="56">
        <v>0.15</v>
      </c>
      <c r="J1016" s="57">
        <v>7.0000000000000007E-2</v>
      </c>
    </row>
    <row r="1017" spans="1:10" ht="17.25" thickBot="1" x14ac:dyDescent="0.35">
      <c r="A1017" s="58" t="s">
        <v>977</v>
      </c>
      <c r="B1017" s="59">
        <f t="shared" si="45"/>
        <v>0</v>
      </c>
      <c r="C1017" s="59" t="str">
        <f t="shared" si="46"/>
        <v>Santander</v>
      </c>
      <c r="D1017" s="59" t="str">
        <f t="shared" si="47"/>
        <v>Suratá, Santander</v>
      </c>
      <c r="E1017" s="55">
        <v>68780</v>
      </c>
      <c r="F1017" s="56">
        <v>0.25</v>
      </c>
      <c r="G1017" s="56">
        <v>0.25</v>
      </c>
      <c r="H1017" s="56" t="s">
        <v>39</v>
      </c>
      <c r="I1017" s="56">
        <v>0.09</v>
      </c>
      <c r="J1017" s="57">
        <v>0.05</v>
      </c>
    </row>
    <row r="1018" spans="1:10" ht="17.25" thickBot="1" x14ac:dyDescent="0.35">
      <c r="A1018" s="58" t="s">
        <v>978</v>
      </c>
      <c r="B1018" s="59">
        <f t="shared" si="45"/>
        <v>0</v>
      </c>
      <c r="C1018" s="59" t="str">
        <f t="shared" si="46"/>
        <v>Santander</v>
      </c>
      <c r="D1018" s="59" t="str">
        <f t="shared" si="47"/>
        <v>Tona, Santander</v>
      </c>
      <c r="E1018" s="55">
        <v>68820</v>
      </c>
      <c r="F1018" s="56">
        <v>0.25</v>
      </c>
      <c r="G1018" s="56">
        <v>0.25</v>
      </c>
      <c r="H1018" s="56" t="s">
        <v>39</v>
      </c>
      <c r="I1018" s="56">
        <v>0.09</v>
      </c>
      <c r="J1018" s="57">
        <v>0.05</v>
      </c>
    </row>
    <row r="1019" spans="1:10" ht="17.25" thickBot="1" x14ac:dyDescent="0.35">
      <c r="A1019" s="58" t="s">
        <v>979</v>
      </c>
      <c r="B1019" s="59">
        <f t="shared" si="45"/>
        <v>0</v>
      </c>
      <c r="C1019" s="59" t="str">
        <f t="shared" si="46"/>
        <v>Santander</v>
      </c>
      <c r="D1019" s="59" t="str">
        <f t="shared" si="47"/>
        <v>Valle San José, Santander</v>
      </c>
      <c r="E1019" s="55">
        <v>68855</v>
      </c>
      <c r="F1019" s="56">
        <v>0.2</v>
      </c>
      <c r="G1019" s="56">
        <v>0.25</v>
      </c>
      <c r="H1019" s="56" t="s">
        <v>39</v>
      </c>
      <c r="I1019" s="56">
        <v>0.08</v>
      </c>
      <c r="J1019" s="57">
        <v>0.06</v>
      </c>
    </row>
    <row r="1020" spans="1:10" ht="17.25" thickBot="1" x14ac:dyDescent="0.35">
      <c r="A1020" s="58" t="s">
        <v>980</v>
      </c>
      <c r="B1020" s="59">
        <f t="shared" si="45"/>
        <v>0</v>
      </c>
      <c r="C1020" s="59" t="str">
        <f t="shared" si="46"/>
        <v>Santander</v>
      </c>
      <c r="D1020" s="59" t="str">
        <f t="shared" si="47"/>
        <v>Vélez, Santander</v>
      </c>
      <c r="E1020" s="55">
        <v>68861</v>
      </c>
      <c r="F1020" s="56">
        <v>0.15</v>
      </c>
      <c r="G1020" s="56">
        <v>0.15</v>
      </c>
      <c r="H1020" s="56" t="s">
        <v>36</v>
      </c>
      <c r="I1020" s="56">
        <v>0.15</v>
      </c>
      <c r="J1020" s="57">
        <v>0.08</v>
      </c>
    </row>
    <row r="1021" spans="1:10" ht="17.25" thickBot="1" x14ac:dyDescent="0.35">
      <c r="A1021" s="58" t="s">
        <v>981</v>
      </c>
      <c r="B1021" s="59">
        <f t="shared" si="45"/>
        <v>0</v>
      </c>
      <c r="C1021" s="59" t="str">
        <f t="shared" si="46"/>
        <v>Santander</v>
      </c>
      <c r="D1021" s="59" t="str">
        <f t="shared" si="47"/>
        <v>Vetas, Santander</v>
      </c>
      <c r="E1021" s="55">
        <v>68867</v>
      </c>
      <c r="F1021" s="56">
        <v>0.25</v>
      </c>
      <c r="G1021" s="56">
        <v>0.25</v>
      </c>
      <c r="H1021" s="56" t="s">
        <v>39</v>
      </c>
      <c r="I1021" s="56">
        <v>0.09</v>
      </c>
      <c r="J1021" s="57">
        <v>0.05</v>
      </c>
    </row>
    <row r="1022" spans="1:10" ht="17.25" thickBot="1" x14ac:dyDescent="0.35">
      <c r="A1022" s="58" t="s">
        <v>255</v>
      </c>
      <c r="B1022" s="59">
        <f t="shared" si="45"/>
        <v>0</v>
      </c>
      <c r="C1022" s="59" t="str">
        <f t="shared" si="46"/>
        <v>Santander</v>
      </c>
      <c r="D1022" s="59" t="str">
        <f t="shared" si="47"/>
        <v>Villanueva, Santander</v>
      </c>
      <c r="E1022" s="55">
        <v>68872</v>
      </c>
      <c r="F1022" s="56">
        <v>0.2</v>
      </c>
      <c r="G1022" s="56">
        <v>0.25</v>
      </c>
      <c r="H1022" s="56" t="s">
        <v>39</v>
      </c>
      <c r="I1022" s="56">
        <v>0.11</v>
      </c>
      <c r="J1022" s="57">
        <v>7.0000000000000007E-2</v>
      </c>
    </row>
    <row r="1023" spans="1:10" ht="17.25" thickBot="1" x14ac:dyDescent="0.35">
      <c r="A1023" s="58" t="s">
        <v>982</v>
      </c>
      <c r="B1023" s="59">
        <f t="shared" si="45"/>
        <v>0</v>
      </c>
      <c r="C1023" s="59" t="str">
        <f t="shared" si="46"/>
        <v>Santander</v>
      </c>
      <c r="D1023" s="59" t="str">
        <f t="shared" si="47"/>
        <v>Zapatoca, Santander</v>
      </c>
      <c r="E1023" s="55">
        <v>68895</v>
      </c>
      <c r="F1023" s="56">
        <v>0.2</v>
      </c>
      <c r="G1023" s="56">
        <v>0.2</v>
      </c>
      <c r="H1023" s="56" t="s">
        <v>36</v>
      </c>
      <c r="I1023" s="56">
        <v>0.2</v>
      </c>
      <c r="J1023" s="57">
        <v>0.1</v>
      </c>
    </row>
    <row r="1024" spans="1:10" ht="17.25" thickBot="1" x14ac:dyDescent="0.35">
      <c r="A1024" s="43" t="s">
        <v>983</v>
      </c>
      <c r="B1024" s="44">
        <f t="shared" si="45"/>
        <v>1</v>
      </c>
      <c r="C1024" s="44" t="str">
        <f t="shared" si="46"/>
        <v>Sucre</v>
      </c>
      <c r="D1024" s="44" t="str">
        <f t="shared" si="47"/>
        <v/>
      </c>
      <c r="E1024" s="45"/>
      <c r="F1024" s="46"/>
      <c r="G1024" s="46"/>
      <c r="H1024" s="46"/>
      <c r="I1024" s="46"/>
      <c r="J1024" s="47"/>
    </row>
    <row r="1025" spans="1:10" ht="17.25" thickBot="1" x14ac:dyDescent="0.35">
      <c r="A1025" s="53" t="s">
        <v>984</v>
      </c>
      <c r="B1025" s="54">
        <f t="shared" si="45"/>
        <v>0</v>
      </c>
      <c r="C1025" s="54" t="str">
        <f t="shared" si="46"/>
        <v>Sucre</v>
      </c>
      <c r="D1025" s="54" t="str">
        <f t="shared" si="47"/>
        <v>Sincelejo, Sucre</v>
      </c>
      <c r="E1025" s="55">
        <v>70001</v>
      </c>
      <c r="F1025" s="56">
        <v>0.1</v>
      </c>
      <c r="G1025" s="56">
        <v>0.15</v>
      </c>
      <c r="H1025" s="56" t="s">
        <v>36</v>
      </c>
      <c r="I1025" s="56">
        <v>7.0000000000000007E-2</v>
      </c>
      <c r="J1025" s="57">
        <v>0.04</v>
      </c>
    </row>
    <row r="1026" spans="1:10" ht="17.25" thickBot="1" x14ac:dyDescent="0.35">
      <c r="A1026" s="58" t="s">
        <v>266</v>
      </c>
      <c r="B1026" s="59">
        <f t="shared" si="45"/>
        <v>0</v>
      </c>
      <c r="C1026" s="59" t="str">
        <f t="shared" si="46"/>
        <v>Sucre</v>
      </c>
      <c r="D1026" s="59" t="str">
        <f t="shared" si="47"/>
        <v>Buenavista, Sucre</v>
      </c>
      <c r="E1026" s="55">
        <v>70110</v>
      </c>
      <c r="F1026" s="56">
        <v>0.1</v>
      </c>
      <c r="G1026" s="56">
        <v>0.15</v>
      </c>
      <c r="H1026" s="56" t="s">
        <v>36</v>
      </c>
      <c r="I1026" s="56">
        <v>0.04</v>
      </c>
      <c r="J1026" s="57">
        <v>0.03</v>
      </c>
    </row>
    <row r="1027" spans="1:10" ht="17.25" thickBot="1" x14ac:dyDescent="0.35">
      <c r="A1027" s="58" t="s">
        <v>985</v>
      </c>
      <c r="B1027" s="59">
        <f t="shared" ref="B1027:B1090" si="48">IFERROR(FIND("Departamento",A1027),0)</f>
        <v>0</v>
      </c>
      <c r="C1027" s="59" t="str">
        <f t="shared" ref="C1027:C1090" si="49">IF(B1027=1,IF(ISERROR(FIND("del",A1027)),MID(A1027,17,30),MID(A1027,18,30)),C1026)</f>
        <v>Sucre</v>
      </c>
      <c r="D1027" s="59" t="str">
        <f t="shared" ref="D1027:D1090" si="50">IF(B1027=1,"",CONCATENATE(A1027,", ",C1027))</f>
        <v>Caimito, Sucre</v>
      </c>
      <c r="E1027" s="55">
        <v>70124</v>
      </c>
      <c r="F1027" s="56">
        <v>0.15</v>
      </c>
      <c r="G1027" s="56">
        <v>0.15</v>
      </c>
      <c r="H1027" s="56" t="s">
        <v>36</v>
      </c>
      <c r="I1027" s="56">
        <v>0.04</v>
      </c>
      <c r="J1027" s="57">
        <v>0.03</v>
      </c>
    </row>
    <row r="1028" spans="1:10" ht="17.25" thickBot="1" x14ac:dyDescent="0.35">
      <c r="A1028" s="58" t="s">
        <v>986</v>
      </c>
      <c r="B1028" s="59">
        <f t="shared" si="48"/>
        <v>0</v>
      </c>
      <c r="C1028" s="59" t="str">
        <f t="shared" si="49"/>
        <v>Sucre</v>
      </c>
      <c r="D1028" s="59" t="str">
        <f t="shared" si="50"/>
        <v>Chalán, Sucre</v>
      </c>
      <c r="E1028" s="55">
        <v>70230</v>
      </c>
      <c r="F1028" s="56">
        <v>0.1</v>
      </c>
      <c r="G1028" s="56">
        <v>0.15</v>
      </c>
      <c r="H1028" s="56" t="s">
        <v>36</v>
      </c>
      <c r="I1028" s="56">
        <v>0.08</v>
      </c>
      <c r="J1028" s="57">
        <v>0.04</v>
      </c>
    </row>
    <row r="1029" spans="1:10" ht="17.25" thickBot="1" x14ac:dyDescent="0.35">
      <c r="A1029" s="58" t="s">
        <v>987</v>
      </c>
      <c r="B1029" s="59">
        <f t="shared" si="48"/>
        <v>0</v>
      </c>
      <c r="C1029" s="59" t="str">
        <f t="shared" si="49"/>
        <v>Sucre</v>
      </c>
      <c r="D1029" s="59" t="str">
        <f t="shared" si="50"/>
        <v>Coloso, Sucre</v>
      </c>
      <c r="E1029" s="55">
        <v>70204</v>
      </c>
      <c r="F1029" s="56">
        <v>0.1</v>
      </c>
      <c r="G1029" s="56">
        <v>0.15</v>
      </c>
      <c r="H1029" s="56" t="s">
        <v>36</v>
      </c>
      <c r="I1029" s="56">
        <v>7.0000000000000007E-2</v>
      </c>
      <c r="J1029" s="57">
        <v>0.04</v>
      </c>
    </row>
    <row r="1030" spans="1:10" ht="17.25" thickBot="1" x14ac:dyDescent="0.35">
      <c r="A1030" s="58" t="s">
        <v>988</v>
      </c>
      <c r="B1030" s="59">
        <f t="shared" si="48"/>
        <v>0</v>
      </c>
      <c r="C1030" s="59" t="str">
        <f t="shared" si="49"/>
        <v>Sucre</v>
      </c>
      <c r="D1030" s="59" t="str">
        <f t="shared" si="50"/>
        <v>Corozal, Sucre</v>
      </c>
      <c r="E1030" s="55">
        <v>70215</v>
      </c>
      <c r="F1030" s="56">
        <v>0.1</v>
      </c>
      <c r="G1030" s="56">
        <v>0.15</v>
      </c>
      <c r="H1030" s="56" t="s">
        <v>36</v>
      </c>
      <c r="I1030" s="56">
        <v>0.05</v>
      </c>
      <c r="J1030" s="57">
        <v>0.04</v>
      </c>
    </row>
    <row r="1031" spans="1:10" ht="17.25" thickBot="1" x14ac:dyDescent="0.35">
      <c r="A1031" s="58" t="s">
        <v>989</v>
      </c>
      <c r="B1031" s="59">
        <f t="shared" si="48"/>
        <v>0</v>
      </c>
      <c r="C1031" s="59" t="str">
        <f t="shared" si="49"/>
        <v>Sucre</v>
      </c>
      <c r="D1031" s="59" t="str">
        <f t="shared" si="50"/>
        <v>El Roble, Sucre</v>
      </c>
      <c r="E1031" s="55">
        <v>70233</v>
      </c>
      <c r="F1031" s="56">
        <v>0.1</v>
      </c>
      <c r="G1031" s="56">
        <v>0.15</v>
      </c>
      <c r="H1031" s="56" t="s">
        <v>36</v>
      </c>
      <c r="I1031" s="56">
        <v>0.04</v>
      </c>
      <c r="J1031" s="57">
        <v>0.03</v>
      </c>
    </row>
    <row r="1032" spans="1:10" ht="17.25" thickBot="1" x14ac:dyDescent="0.35">
      <c r="A1032" s="58" t="s">
        <v>990</v>
      </c>
      <c r="B1032" s="59">
        <f t="shared" si="48"/>
        <v>0</v>
      </c>
      <c r="C1032" s="59" t="str">
        <f t="shared" si="49"/>
        <v>Sucre</v>
      </c>
      <c r="D1032" s="59" t="str">
        <f t="shared" si="50"/>
        <v>Galeras, Sucre</v>
      </c>
      <c r="E1032" s="55">
        <v>70235</v>
      </c>
      <c r="F1032" s="56">
        <v>0.1</v>
      </c>
      <c r="G1032" s="56">
        <v>0.15</v>
      </c>
      <c r="H1032" s="56" t="s">
        <v>36</v>
      </c>
      <c r="I1032" s="56">
        <v>0.04</v>
      </c>
      <c r="J1032" s="57">
        <v>0.03</v>
      </c>
    </row>
    <row r="1033" spans="1:10" ht="17.25" thickBot="1" x14ac:dyDescent="0.35">
      <c r="A1033" s="58" t="s">
        <v>991</v>
      </c>
      <c r="B1033" s="59">
        <f t="shared" si="48"/>
        <v>0</v>
      </c>
      <c r="C1033" s="59" t="str">
        <f t="shared" si="49"/>
        <v>Sucre</v>
      </c>
      <c r="D1033" s="59" t="str">
        <f t="shared" si="50"/>
        <v>Guarandá, Sucre</v>
      </c>
      <c r="E1033" s="55">
        <v>70265</v>
      </c>
      <c r="F1033" s="56">
        <v>0.15</v>
      </c>
      <c r="G1033" s="56">
        <v>0.15</v>
      </c>
      <c r="H1033" s="56" t="s">
        <v>36</v>
      </c>
      <c r="I1033" s="56">
        <v>0.06</v>
      </c>
      <c r="J1033" s="57">
        <v>0.05</v>
      </c>
    </row>
    <row r="1034" spans="1:10" ht="17.25" thickBot="1" x14ac:dyDescent="0.35">
      <c r="A1034" s="58" t="s">
        <v>120</v>
      </c>
      <c r="B1034" s="59">
        <f t="shared" si="48"/>
        <v>0</v>
      </c>
      <c r="C1034" s="59" t="str">
        <f t="shared" si="49"/>
        <v>Sucre</v>
      </c>
      <c r="D1034" s="59" t="str">
        <f t="shared" si="50"/>
        <v>La Unión, Sucre</v>
      </c>
      <c r="E1034" s="55">
        <v>70400</v>
      </c>
      <c r="F1034" s="56">
        <v>0.15</v>
      </c>
      <c r="G1034" s="56">
        <v>0.15</v>
      </c>
      <c r="H1034" s="56" t="s">
        <v>36</v>
      </c>
      <c r="I1034" s="56">
        <v>0.05</v>
      </c>
      <c r="J1034" s="57">
        <v>0.04</v>
      </c>
    </row>
    <row r="1035" spans="1:10" ht="17.25" thickBot="1" x14ac:dyDescent="0.35">
      <c r="A1035" s="58" t="s">
        <v>992</v>
      </c>
      <c r="B1035" s="59">
        <f t="shared" si="48"/>
        <v>0</v>
      </c>
      <c r="C1035" s="59" t="str">
        <f t="shared" si="49"/>
        <v>Sucre</v>
      </c>
      <c r="D1035" s="59" t="str">
        <f t="shared" si="50"/>
        <v>Los Palmitos, Sucre</v>
      </c>
      <c r="E1035" s="55">
        <v>70418</v>
      </c>
      <c r="F1035" s="56">
        <v>0.1</v>
      </c>
      <c r="G1035" s="56">
        <v>0.15</v>
      </c>
      <c r="H1035" s="56" t="s">
        <v>36</v>
      </c>
      <c r="I1035" s="56">
        <v>0.05</v>
      </c>
      <c r="J1035" s="57">
        <v>0.04</v>
      </c>
    </row>
    <row r="1036" spans="1:10" ht="17.25" thickBot="1" x14ac:dyDescent="0.35">
      <c r="A1036" s="58" t="s">
        <v>993</v>
      </c>
      <c r="B1036" s="59">
        <f t="shared" si="48"/>
        <v>0</v>
      </c>
      <c r="C1036" s="59" t="str">
        <f t="shared" si="49"/>
        <v>Sucre</v>
      </c>
      <c r="D1036" s="59" t="str">
        <f t="shared" si="50"/>
        <v>Majagual, Sucre</v>
      </c>
      <c r="E1036" s="55">
        <v>70429</v>
      </c>
      <c r="F1036" s="56">
        <v>0.15</v>
      </c>
      <c r="G1036" s="56">
        <v>0.15</v>
      </c>
      <c r="H1036" s="56" t="s">
        <v>36</v>
      </c>
      <c r="I1036" s="56">
        <v>0.04</v>
      </c>
      <c r="J1036" s="57">
        <v>0.04</v>
      </c>
    </row>
    <row r="1037" spans="1:10" ht="17.25" thickBot="1" x14ac:dyDescent="0.35">
      <c r="A1037" s="58" t="s">
        <v>994</v>
      </c>
      <c r="B1037" s="59">
        <f t="shared" si="48"/>
        <v>0</v>
      </c>
      <c r="C1037" s="59" t="str">
        <f t="shared" si="49"/>
        <v>Sucre</v>
      </c>
      <c r="D1037" s="59" t="str">
        <f t="shared" si="50"/>
        <v>Morroa, Sucre</v>
      </c>
      <c r="E1037" s="55">
        <v>70473</v>
      </c>
      <c r="F1037" s="56">
        <v>0.1</v>
      </c>
      <c r="G1037" s="56">
        <v>0.15</v>
      </c>
      <c r="H1037" s="56" t="s">
        <v>36</v>
      </c>
      <c r="I1037" s="56">
        <v>7.0000000000000007E-2</v>
      </c>
      <c r="J1037" s="57">
        <v>0.04</v>
      </c>
    </row>
    <row r="1038" spans="1:10" ht="17.25" thickBot="1" x14ac:dyDescent="0.35">
      <c r="A1038" s="58" t="s">
        <v>995</v>
      </c>
      <c r="B1038" s="59">
        <f t="shared" si="48"/>
        <v>0</v>
      </c>
      <c r="C1038" s="59" t="str">
        <f t="shared" si="49"/>
        <v>Sucre</v>
      </c>
      <c r="D1038" s="59" t="str">
        <f t="shared" si="50"/>
        <v>Ovejas, Sucre</v>
      </c>
      <c r="E1038" s="55">
        <v>70508</v>
      </c>
      <c r="F1038" s="56">
        <v>0.1</v>
      </c>
      <c r="G1038" s="56">
        <v>0.15</v>
      </c>
      <c r="H1038" s="56" t="s">
        <v>36</v>
      </c>
      <c r="I1038" s="56">
        <v>0.06</v>
      </c>
      <c r="J1038" s="57">
        <v>0.04</v>
      </c>
    </row>
    <row r="1039" spans="1:10" ht="17.25" thickBot="1" x14ac:dyDescent="0.35">
      <c r="A1039" s="58" t="s">
        <v>996</v>
      </c>
      <c r="B1039" s="59">
        <f t="shared" si="48"/>
        <v>0</v>
      </c>
      <c r="C1039" s="59" t="str">
        <f t="shared" si="49"/>
        <v>Sucre</v>
      </c>
      <c r="D1039" s="59" t="str">
        <f t="shared" si="50"/>
        <v>Palmito, Sucre</v>
      </c>
      <c r="E1039" s="55">
        <v>70523</v>
      </c>
      <c r="F1039" s="56">
        <v>0.1</v>
      </c>
      <c r="G1039" s="56">
        <v>0.15</v>
      </c>
      <c r="H1039" s="56" t="s">
        <v>36</v>
      </c>
      <c r="I1039" s="56">
        <v>0.05</v>
      </c>
      <c r="J1039" s="57">
        <v>0.04</v>
      </c>
    </row>
    <row r="1040" spans="1:10" ht="17.25" thickBot="1" x14ac:dyDescent="0.35">
      <c r="A1040" s="58" t="s">
        <v>997</v>
      </c>
      <c r="B1040" s="59">
        <f t="shared" si="48"/>
        <v>0</v>
      </c>
      <c r="C1040" s="59" t="str">
        <f t="shared" si="49"/>
        <v>Sucre</v>
      </c>
      <c r="D1040" s="59" t="str">
        <f t="shared" si="50"/>
        <v>Sampués, Sucre</v>
      </c>
      <c r="E1040" s="55">
        <v>70670</v>
      </c>
      <c r="F1040" s="56">
        <v>0.1</v>
      </c>
      <c r="G1040" s="56">
        <v>0.15</v>
      </c>
      <c r="H1040" s="56" t="s">
        <v>36</v>
      </c>
      <c r="I1040" s="56">
        <v>0.06</v>
      </c>
      <c r="J1040" s="57">
        <v>0.04</v>
      </c>
    </row>
    <row r="1041" spans="1:10" ht="17.25" thickBot="1" x14ac:dyDescent="0.35">
      <c r="A1041" s="58" t="s">
        <v>998</v>
      </c>
      <c r="B1041" s="59">
        <f t="shared" si="48"/>
        <v>0</v>
      </c>
      <c r="C1041" s="59" t="str">
        <f t="shared" si="49"/>
        <v>Sucre</v>
      </c>
      <c r="D1041" s="59" t="str">
        <f t="shared" si="50"/>
        <v>San Benito Abad, Sucre</v>
      </c>
      <c r="E1041" s="55">
        <v>70678</v>
      </c>
      <c r="F1041" s="56">
        <v>0.1</v>
      </c>
      <c r="G1041" s="56">
        <v>0.15</v>
      </c>
      <c r="H1041" s="56" t="s">
        <v>36</v>
      </c>
      <c r="I1041" s="56">
        <v>0.04</v>
      </c>
      <c r="J1041" s="57">
        <v>0.03</v>
      </c>
    </row>
    <row r="1042" spans="1:10" ht="17.25" thickBot="1" x14ac:dyDescent="0.35">
      <c r="A1042" s="58" t="s">
        <v>999</v>
      </c>
      <c r="B1042" s="59">
        <f t="shared" si="48"/>
        <v>0</v>
      </c>
      <c r="C1042" s="59" t="str">
        <f t="shared" si="49"/>
        <v>Sucre</v>
      </c>
      <c r="D1042" s="59" t="str">
        <f t="shared" si="50"/>
        <v>San Juan Betulia, Sucre</v>
      </c>
      <c r="E1042" s="55">
        <v>70702</v>
      </c>
      <c r="F1042" s="56">
        <v>0.1</v>
      </c>
      <c r="G1042" s="56">
        <v>0.15</v>
      </c>
      <c r="H1042" s="56" t="s">
        <v>36</v>
      </c>
      <c r="I1042" s="56">
        <v>0.05</v>
      </c>
      <c r="J1042" s="57">
        <v>0.03</v>
      </c>
    </row>
    <row r="1043" spans="1:10" ht="17.25" thickBot="1" x14ac:dyDescent="0.35">
      <c r="A1043" s="58" t="s">
        <v>1000</v>
      </c>
      <c r="B1043" s="59">
        <f t="shared" si="48"/>
        <v>0</v>
      </c>
      <c r="C1043" s="59" t="str">
        <f t="shared" si="49"/>
        <v>Sucre</v>
      </c>
      <c r="D1043" s="59" t="str">
        <f t="shared" si="50"/>
        <v>San Marcos, Sucre</v>
      </c>
      <c r="E1043" s="55">
        <v>70708</v>
      </c>
      <c r="F1043" s="56">
        <v>0.15</v>
      </c>
      <c r="G1043" s="56">
        <v>0.15</v>
      </c>
      <c r="H1043" s="56" t="s">
        <v>36</v>
      </c>
      <c r="I1043" s="56">
        <v>0.04</v>
      </c>
      <c r="J1043" s="57">
        <v>0.04</v>
      </c>
    </row>
    <row r="1044" spans="1:10" ht="17.25" thickBot="1" x14ac:dyDescent="0.35">
      <c r="A1044" s="58" t="s">
        <v>1001</v>
      </c>
      <c r="B1044" s="59">
        <f t="shared" si="48"/>
        <v>0</v>
      </c>
      <c r="C1044" s="59" t="str">
        <f t="shared" si="49"/>
        <v>Sucre</v>
      </c>
      <c r="D1044" s="59" t="str">
        <f t="shared" si="50"/>
        <v>San Onofre, Sucre</v>
      </c>
      <c r="E1044" s="55">
        <v>70713</v>
      </c>
      <c r="F1044" s="56">
        <v>0.1</v>
      </c>
      <c r="G1044" s="56">
        <v>0.15</v>
      </c>
      <c r="H1044" s="56" t="s">
        <v>36</v>
      </c>
      <c r="I1044" s="56">
        <v>0.04</v>
      </c>
      <c r="J1044" s="57">
        <v>0.03</v>
      </c>
    </row>
    <row r="1045" spans="1:10" ht="17.25" thickBot="1" x14ac:dyDescent="0.35">
      <c r="A1045" s="58" t="s">
        <v>149</v>
      </c>
      <c r="B1045" s="59">
        <f t="shared" si="48"/>
        <v>0</v>
      </c>
      <c r="C1045" s="59" t="str">
        <f t="shared" si="49"/>
        <v>Sucre</v>
      </c>
      <c r="D1045" s="59" t="str">
        <f t="shared" si="50"/>
        <v>San Pedro, Sucre</v>
      </c>
      <c r="E1045" s="55">
        <v>70717</v>
      </c>
      <c r="F1045" s="56">
        <v>0.1</v>
      </c>
      <c r="G1045" s="56">
        <v>0.15</v>
      </c>
      <c r="H1045" s="56" t="s">
        <v>36</v>
      </c>
      <c r="I1045" s="56">
        <v>0.04</v>
      </c>
      <c r="J1045" s="57">
        <v>0.03</v>
      </c>
    </row>
    <row r="1046" spans="1:10" ht="17.25" thickBot="1" x14ac:dyDescent="0.35">
      <c r="A1046" s="58" t="s">
        <v>1002</v>
      </c>
      <c r="B1046" s="59">
        <f t="shared" si="48"/>
        <v>0</v>
      </c>
      <c r="C1046" s="59" t="str">
        <f t="shared" si="49"/>
        <v>Sucre</v>
      </c>
      <c r="D1046" s="59" t="str">
        <f t="shared" si="50"/>
        <v>Sincé, Sucre</v>
      </c>
      <c r="E1046" s="55">
        <v>70742</v>
      </c>
      <c r="F1046" s="56">
        <v>0.1</v>
      </c>
      <c r="G1046" s="56">
        <v>0.15</v>
      </c>
      <c r="H1046" s="56" t="s">
        <v>36</v>
      </c>
      <c r="I1046" s="56">
        <v>0.04</v>
      </c>
      <c r="J1046" s="57">
        <v>0.03</v>
      </c>
    </row>
    <row r="1047" spans="1:10" ht="17.25" thickBot="1" x14ac:dyDescent="0.35">
      <c r="A1047" s="58" t="s">
        <v>54</v>
      </c>
      <c r="B1047" s="59">
        <f t="shared" si="48"/>
        <v>0</v>
      </c>
      <c r="C1047" s="59" t="str">
        <f t="shared" si="49"/>
        <v>Sucre</v>
      </c>
      <c r="D1047" s="59" t="str">
        <f t="shared" si="50"/>
        <v>Sucre, Sucre</v>
      </c>
      <c r="E1047" s="55">
        <v>70771</v>
      </c>
      <c r="F1047" s="56">
        <v>0.1</v>
      </c>
      <c r="G1047" s="56">
        <v>0.15</v>
      </c>
      <c r="H1047" s="56" t="s">
        <v>36</v>
      </c>
      <c r="I1047" s="56">
        <v>0.04</v>
      </c>
      <c r="J1047" s="57">
        <v>0.03</v>
      </c>
    </row>
    <row r="1048" spans="1:10" ht="17.25" thickBot="1" x14ac:dyDescent="0.35">
      <c r="A1048" s="58" t="s">
        <v>1003</v>
      </c>
      <c r="B1048" s="59">
        <f t="shared" si="48"/>
        <v>0</v>
      </c>
      <c r="C1048" s="59" t="str">
        <f t="shared" si="49"/>
        <v>Sucre</v>
      </c>
      <c r="D1048" s="59" t="str">
        <f t="shared" si="50"/>
        <v>Tolú, Sucre</v>
      </c>
      <c r="E1048" s="55">
        <v>70820</v>
      </c>
      <c r="F1048" s="56">
        <v>0.1</v>
      </c>
      <c r="G1048" s="56">
        <v>0.15</v>
      </c>
      <c r="H1048" s="56" t="s">
        <v>36</v>
      </c>
      <c r="I1048" s="56">
        <v>0.04</v>
      </c>
      <c r="J1048" s="57">
        <v>0.03</v>
      </c>
    </row>
    <row r="1049" spans="1:10" ht="17.25" thickBot="1" x14ac:dyDescent="0.35">
      <c r="A1049" s="58" t="s">
        <v>1004</v>
      </c>
      <c r="B1049" s="59">
        <f t="shared" si="48"/>
        <v>0</v>
      </c>
      <c r="C1049" s="59" t="str">
        <f t="shared" si="49"/>
        <v>Sucre</v>
      </c>
      <c r="D1049" s="59" t="str">
        <f t="shared" si="50"/>
        <v>Toluviejo, Sucre</v>
      </c>
      <c r="E1049" s="55">
        <v>70823</v>
      </c>
      <c r="F1049" s="56">
        <v>0.1</v>
      </c>
      <c r="G1049" s="56">
        <v>0.15</v>
      </c>
      <c r="H1049" s="56" t="s">
        <v>36</v>
      </c>
      <c r="I1049" s="56">
        <v>0.06</v>
      </c>
      <c r="J1049" s="57">
        <v>0.04</v>
      </c>
    </row>
    <row r="1050" spans="1:10" ht="17.25" thickBot="1" x14ac:dyDescent="0.35">
      <c r="A1050" s="43" t="s">
        <v>1005</v>
      </c>
      <c r="B1050" s="44">
        <f t="shared" si="48"/>
        <v>1</v>
      </c>
      <c r="C1050" s="44" t="str">
        <f t="shared" si="49"/>
        <v>Tolima</v>
      </c>
      <c r="D1050" s="44" t="str">
        <f t="shared" si="50"/>
        <v/>
      </c>
      <c r="E1050" s="45"/>
      <c r="F1050" s="46"/>
      <c r="G1050" s="46"/>
      <c r="H1050" s="46"/>
      <c r="I1050" s="46"/>
      <c r="J1050" s="47"/>
    </row>
    <row r="1051" spans="1:10" ht="17.25" thickBot="1" x14ac:dyDescent="0.35">
      <c r="A1051" s="53" t="s">
        <v>1006</v>
      </c>
      <c r="B1051" s="54">
        <f t="shared" si="48"/>
        <v>0</v>
      </c>
      <c r="C1051" s="54" t="str">
        <f t="shared" si="49"/>
        <v>Tolima</v>
      </c>
      <c r="D1051" s="54" t="str">
        <f t="shared" si="50"/>
        <v>Ibagué, Tolima</v>
      </c>
      <c r="E1051" s="55">
        <v>73001</v>
      </c>
      <c r="F1051" s="56">
        <v>0.2</v>
      </c>
      <c r="G1051" s="56">
        <v>0.2</v>
      </c>
      <c r="H1051" s="56" t="s">
        <v>36</v>
      </c>
      <c r="I1051" s="56">
        <v>0.15</v>
      </c>
      <c r="J1051" s="57">
        <v>0.08</v>
      </c>
    </row>
    <row r="1052" spans="1:10" ht="17.25" thickBot="1" x14ac:dyDescent="0.35">
      <c r="A1052" s="58" t="s">
        <v>1007</v>
      </c>
      <c r="B1052" s="59">
        <f t="shared" si="48"/>
        <v>0</v>
      </c>
      <c r="C1052" s="59" t="str">
        <f t="shared" si="49"/>
        <v>Tolima</v>
      </c>
      <c r="D1052" s="59" t="str">
        <f t="shared" si="50"/>
        <v>Alpujarra, Tolima</v>
      </c>
      <c r="E1052" s="55">
        <v>73024</v>
      </c>
      <c r="F1052" s="56">
        <v>0.25</v>
      </c>
      <c r="G1052" s="56">
        <v>0.25</v>
      </c>
      <c r="H1052" s="56" t="s">
        <v>39</v>
      </c>
      <c r="I1052" s="56">
        <v>0.14000000000000001</v>
      </c>
      <c r="J1052" s="57">
        <v>7.0000000000000007E-2</v>
      </c>
    </row>
    <row r="1053" spans="1:10" ht="17.25" thickBot="1" x14ac:dyDescent="0.35">
      <c r="A1053" s="58" t="s">
        <v>1008</v>
      </c>
      <c r="B1053" s="59">
        <f t="shared" si="48"/>
        <v>0</v>
      </c>
      <c r="C1053" s="59" t="str">
        <f t="shared" si="49"/>
        <v>Tolima</v>
      </c>
      <c r="D1053" s="59" t="str">
        <f t="shared" si="50"/>
        <v>Alvarado, Tolima</v>
      </c>
      <c r="E1053" s="55">
        <v>73026</v>
      </c>
      <c r="F1053" s="56">
        <v>0.2</v>
      </c>
      <c r="G1053" s="56">
        <v>0.2</v>
      </c>
      <c r="H1053" s="56" t="s">
        <v>36</v>
      </c>
      <c r="I1053" s="56">
        <v>0.13</v>
      </c>
      <c r="J1053" s="57">
        <v>7.0000000000000007E-2</v>
      </c>
    </row>
    <row r="1054" spans="1:10" ht="17.25" thickBot="1" x14ac:dyDescent="0.35">
      <c r="A1054" s="58" t="s">
        <v>1009</v>
      </c>
      <c r="B1054" s="59">
        <f t="shared" si="48"/>
        <v>0</v>
      </c>
      <c r="C1054" s="59" t="str">
        <f t="shared" si="49"/>
        <v>Tolima</v>
      </c>
      <c r="D1054" s="59" t="str">
        <f t="shared" si="50"/>
        <v>Ambalema, Tolima</v>
      </c>
      <c r="E1054" s="55">
        <v>73030</v>
      </c>
      <c r="F1054" s="56">
        <v>0.2</v>
      </c>
      <c r="G1054" s="56">
        <v>0.2</v>
      </c>
      <c r="H1054" s="56" t="s">
        <v>36</v>
      </c>
      <c r="I1054" s="56">
        <v>0.1</v>
      </c>
      <c r="J1054" s="57">
        <v>0.06</v>
      </c>
    </row>
    <row r="1055" spans="1:10" ht="17.25" thickBot="1" x14ac:dyDescent="0.35">
      <c r="A1055" s="58" t="s">
        <v>1010</v>
      </c>
      <c r="B1055" s="59">
        <f t="shared" si="48"/>
        <v>0</v>
      </c>
      <c r="C1055" s="59" t="str">
        <f t="shared" si="49"/>
        <v>Tolima</v>
      </c>
      <c r="D1055" s="59" t="str">
        <f t="shared" si="50"/>
        <v>Anzoátegui, Tolima</v>
      </c>
      <c r="E1055" s="55">
        <v>73043</v>
      </c>
      <c r="F1055" s="56">
        <v>0.2</v>
      </c>
      <c r="G1055" s="56">
        <v>0.2</v>
      </c>
      <c r="H1055" s="56" t="s">
        <v>36</v>
      </c>
      <c r="I1055" s="56">
        <v>0.13</v>
      </c>
      <c r="J1055" s="57">
        <v>0.08</v>
      </c>
    </row>
    <row r="1056" spans="1:10" ht="17.25" thickBot="1" x14ac:dyDescent="0.35">
      <c r="A1056" s="58" t="s">
        <v>1011</v>
      </c>
      <c r="B1056" s="59">
        <f t="shared" si="48"/>
        <v>0</v>
      </c>
      <c r="C1056" s="59" t="str">
        <f t="shared" si="49"/>
        <v>Tolima</v>
      </c>
      <c r="D1056" s="59" t="str">
        <f t="shared" si="50"/>
        <v>Armero, Tolima</v>
      </c>
      <c r="E1056" s="55">
        <v>73055</v>
      </c>
      <c r="F1056" s="56">
        <v>0.2</v>
      </c>
      <c r="G1056" s="56">
        <v>0.2</v>
      </c>
      <c r="H1056" s="56" t="s">
        <v>36</v>
      </c>
      <c r="I1056" s="56">
        <v>0.1</v>
      </c>
      <c r="J1056" s="57">
        <v>0.06</v>
      </c>
    </row>
    <row r="1057" spans="1:10" ht="17.25" thickBot="1" x14ac:dyDescent="0.35">
      <c r="A1057" s="58" t="s">
        <v>1012</v>
      </c>
      <c r="B1057" s="59">
        <f t="shared" si="48"/>
        <v>0</v>
      </c>
      <c r="C1057" s="59" t="str">
        <f t="shared" si="49"/>
        <v>Tolima</v>
      </c>
      <c r="D1057" s="59" t="str">
        <f t="shared" si="50"/>
        <v>Ataco, Tolima</v>
      </c>
      <c r="E1057" s="55">
        <v>73067</v>
      </c>
      <c r="F1057" s="56">
        <v>0.25</v>
      </c>
      <c r="G1057" s="56">
        <v>0.2</v>
      </c>
      <c r="H1057" s="56" t="s">
        <v>39</v>
      </c>
      <c r="I1057" s="56">
        <v>7.0000000000000007E-2</v>
      </c>
      <c r="J1057" s="57">
        <v>0.04</v>
      </c>
    </row>
    <row r="1058" spans="1:10" ht="17.25" thickBot="1" x14ac:dyDescent="0.35">
      <c r="A1058" s="58" t="s">
        <v>1013</v>
      </c>
      <c r="B1058" s="59">
        <f t="shared" si="48"/>
        <v>0</v>
      </c>
      <c r="C1058" s="59" t="str">
        <f t="shared" si="49"/>
        <v>Tolima</v>
      </c>
      <c r="D1058" s="59" t="str">
        <f t="shared" si="50"/>
        <v>Cajamarca, Tolima</v>
      </c>
      <c r="E1058" s="55">
        <v>73124</v>
      </c>
      <c r="F1058" s="56">
        <v>0.2</v>
      </c>
      <c r="G1058" s="56">
        <v>0.2</v>
      </c>
      <c r="H1058" s="56" t="s">
        <v>36</v>
      </c>
      <c r="I1058" s="56">
        <v>0.14000000000000001</v>
      </c>
      <c r="J1058" s="57">
        <v>0.08</v>
      </c>
    </row>
    <row r="1059" spans="1:10" ht="17.25" thickBot="1" x14ac:dyDescent="0.35">
      <c r="A1059" s="58" t="s">
        <v>1014</v>
      </c>
      <c r="B1059" s="59">
        <f t="shared" si="48"/>
        <v>0</v>
      </c>
      <c r="C1059" s="59" t="str">
        <f t="shared" si="49"/>
        <v>Tolima</v>
      </c>
      <c r="D1059" s="59" t="str">
        <f t="shared" si="50"/>
        <v>Carmen Apicalá, Tolima</v>
      </c>
      <c r="E1059" s="55">
        <v>73148</v>
      </c>
      <c r="F1059" s="56">
        <v>0.25</v>
      </c>
      <c r="G1059" s="56">
        <v>0.2</v>
      </c>
      <c r="H1059" s="56" t="s">
        <v>39</v>
      </c>
      <c r="I1059" s="56">
        <v>0.11</v>
      </c>
      <c r="J1059" s="57">
        <v>0.05</v>
      </c>
    </row>
    <row r="1060" spans="1:10" ht="17.25" thickBot="1" x14ac:dyDescent="0.35">
      <c r="A1060" s="58" t="s">
        <v>1015</v>
      </c>
      <c r="B1060" s="59">
        <f t="shared" si="48"/>
        <v>0</v>
      </c>
      <c r="C1060" s="59" t="str">
        <f t="shared" si="49"/>
        <v>Tolima</v>
      </c>
      <c r="D1060" s="59" t="str">
        <f t="shared" si="50"/>
        <v>Casabianca, Tolima</v>
      </c>
      <c r="E1060" s="55">
        <v>73152</v>
      </c>
      <c r="F1060" s="56">
        <v>0.2</v>
      </c>
      <c r="G1060" s="56">
        <v>0.2</v>
      </c>
      <c r="H1060" s="56" t="s">
        <v>36</v>
      </c>
      <c r="I1060" s="56">
        <v>0.16</v>
      </c>
      <c r="J1060" s="57">
        <v>0.08</v>
      </c>
    </row>
    <row r="1061" spans="1:10" ht="17.25" thickBot="1" x14ac:dyDescent="0.35">
      <c r="A1061" s="58" t="s">
        <v>1016</v>
      </c>
      <c r="B1061" s="59">
        <f t="shared" si="48"/>
        <v>0</v>
      </c>
      <c r="C1061" s="59" t="str">
        <f t="shared" si="49"/>
        <v>Tolima</v>
      </c>
      <c r="D1061" s="59" t="str">
        <f t="shared" si="50"/>
        <v>Chaparral, Tolima</v>
      </c>
      <c r="E1061" s="55">
        <v>73168</v>
      </c>
      <c r="F1061" s="56">
        <v>0.25</v>
      </c>
      <c r="G1061" s="56">
        <v>0.2</v>
      </c>
      <c r="H1061" s="56" t="s">
        <v>39</v>
      </c>
      <c r="I1061" s="56">
        <v>0.08</v>
      </c>
      <c r="J1061" s="57">
        <v>0.05</v>
      </c>
    </row>
    <row r="1062" spans="1:10" ht="17.25" thickBot="1" x14ac:dyDescent="0.35">
      <c r="A1062" s="58" t="s">
        <v>1017</v>
      </c>
      <c r="B1062" s="59">
        <f t="shared" si="48"/>
        <v>0</v>
      </c>
      <c r="C1062" s="59" t="str">
        <f t="shared" si="49"/>
        <v>Tolima</v>
      </c>
      <c r="D1062" s="59" t="str">
        <f t="shared" si="50"/>
        <v>Coello, Tolima</v>
      </c>
      <c r="E1062" s="55">
        <v>73200</v>
      </c>
      <c r="F1062" s="56">
        <v>0.2</v>
      </c>
      <c r="G1062" s="56">
        <v>0.2</v>
      </c>
      <c r="H1062" s="56" t="s">
        <v>36</v>
      </c>
      <c r="I1062" s="56">
        <v>0.11</v>
      </c>
      <c r="J1062" s="57">
        <v>0.06</v>
      </c>
    </row>
    <row r="1063" spans="1:10" ht="17.25" thickBot="1" x14ac:dyDescent="0.35">
      <c r="A1063" s="58" t="s">
        <v>1018</v>
      </c>
      <c r="B1063" s="59">
        <f t="shared" si="48"/>
        <v>0</v>
      </c>
      <c r="C1063" s="59" t="str">
        <f t="shared" si="49"/>
        <v>Tolima</v>
      </c>
      <c r="D1063" s="59" t="str">
        <f t="shared" si="50"/>
        <v>Coyaima, Tolima</v>
      </c>
      <c r="E1063" s="55">
        <v>73217</v>
      </c>
      <c r="F1063" s="56">
        <v>0.25</v>
      </c>
      <c r="G1063" s="56">
        <v>0.2</v>
      </c>
      <c r="H1063" s="56" t="s">
        <v>39</v>
      </c>
      <c r="I1063" s="56">
        <v>0.09</v>
      </c>
      <c r="J1063" s="57">
        <v>0.05</v>
      </c>
    </row>
    <row r="1064" spans="1:10" ht="17.25" thickBot="1" x14ac:dyDescent="0.35">
      <c r="A1064" s="58" t="s">
        <v>1019</v>
      </c>
      <c r="B1064" s="59">
        <f t="shared" si="48"/>
        <v>0</v>
      </c>
      <c r="C1064" s="59" t="str">
        <f t="shared" si="49"/>
        <v>Tolima</v>
      </c>
      <c r="D1064" s="59" t="str">
        <f t="shared" si="50"/>
        <v>Cunday, Tolima</v>
      </c>
      <c r="E1064" s="55">
        <v>73226</v>
      </c>
      <c r="F1064" s="56">
        <v>0.25</v>
      </c>
      <c r="G1064" s="56">
        <v>0.2</v>
      </c>
      <c r="H1064" s="56" t="s">
        <v>39</v>
      </c>
      <c r="I1064" s="56">
        <v>0.09</v>
      </c>
      <c r="J1064" s="57">
        <v>0.05</v>
      </c>
    </row>
    <row r="1065" spans="1:10" ht="17.25" thickBot="1" x14ac:dyDescent="0.35">
      <c r="A1065" s="58" t="s">
        <v>1020</v>
      </c>
      <c r="B1065" s="59">
        <f t="shared" si="48"/>
        <v>0</v>
      </c>
      <c r="C1065" s="59" t="str">
        <f t="shared" si="49"/>
        <v>Tolima</v>
      </c>
      <c r="D1065" s="59" t="str">
        <f t="shared" si="50"/>
        <v>Dolores, Tolima</v>
      </c>
      <c r="E1065" s="55">
        <v>73236</v>
      </c>
      <c r="F1065" s="56">
        <v>0.25</v>
      </c>
      <c r="G1065" s="56">
        <v>0.25</v>
      </c>
      <c r="H1065" s="56" t="s">
        <v>39</v>
      </c>
      <c r="I1065" s="56">
        <v>0.12</v>
      </c>
      <c r="J1065" s="57">
        <v>0.06</v>
      </c>
    </row>
    <row r="1066" spans="1:10" ht="17.25" thickBot="1" x14ac:dyDescent="0.35">
      <c r="A1066" s="58" t="s">
        <v>1021</v>
      </c>
      <c r="B1066" s="59">
        <f t="shared" si="48"/>
        <v>0</v>
      </c>
      <c r="C1066" s="59" t="str">
        <f t="shared" si="49"/>
        <v>Tolima</v>
      </c>
      <c r="D1066" s="59" t="str">
        <f t="shared" si="50"/>
        <v>Espinal, Tolima</v>
      </c>
      <c r="E1066" s="55">
        <v>73268</v>
      </c>
      <c r="F1066" s="56">
        <v>0.25</v>
      </c>
      <c r="G1066" s="56">
        <v>0.2</v>
      </c>
      <c r="H1066" s="56" t="s">
        <v>39</v>
      </c>
      <c r="I1066" s="56">
        <v>0.13</v>
      </c>
      <c r="J1066" s="57">
        <v>0.06</v>
      </c>
    </row>
    <row r="1067" spans="1:10" ht="17.25" thickBot="1" x14ac:dyDescent="0.35">
      <c r="A1067" s="58" t="s">
        <v>1022</v>
      </c>
      <c r="B1067" s="59">
        <f t="shared" si="48"/>
        <v>0</v>
      </c>
      <c r="C1067" s="59" t="str">
        <f t="shared" si="49"/>
        <v>Tolima</v>
      </c>
      <c r="D1067" s="59" t="str">
        <f t="shared" si="50"/>
        <v>Falán, Tolima</v>
      </c>
      <c r="E1067" s="55">
        <v>73270</v>
      </c>
      <c r="F1067" s="56">
        <v>0.2</v>
      </c>
      <c r="G1067" s="56">
        <v>0.2</v>
      </c>
      <c r="H1067" s="56" t="s">
        <v>36</v>
      </c>
      <c r="I1067" s="56">
        <v>0.12</v>
      </c>
      <c r="J1067" s="57">
        <v>7.0000000000000007E-2</v>
      </c>
    </row>
    <row r="1068" spans="1:10" ht="17.25" thickBot="1" x14ac:dyDescent="0.35">
      <c r="A1068" s="58" t="s">
        <v>1023</v>
      </c>
      <c r="B1068" s="59">
        <f t="shared" si="48"/>
        <v>0</v>
      </c>
      <c r="C1068" s="59" t="str">
        <f t="shared" si="49"/>
        <v>Tolima</v>
      </c>
      <c r="D1068" s="59" t="str">
        <f t="shared" si="50"/>
        <v>Flandes, Tolima</v>
      </c>
      <c r="E1068" s="55">
        <v>73275</v>
      </c>
      <c r="F1068" s="56">
        <v>0.2</v>
      </c>
      <c r="G1068" s="56">
        <v>0.2</v>
      </c>
      <c r="H1068" s="56" t="s">
        <v>36</v>
      </c>
      <c r="I1068" s="56">
        <v>0.11</v>
      </c>
      <c r="J1068" s="57">
        <v>0.06</v>
      </c>
    </row>
    <row r="1069" spans="1:10" ht="17.25" thickBot="1" x14ac:dyDescent="0.35">
      <c r="A1069" s="58" t="s">
        <v>1024</v>
      </c>
      <c r="B1069" s="59">
        <f t="shared" si="48"/>
        <v>0</v>
      </c>
      <c r="C1069" s="59" t="str">
        <f t="shared" si="49"/>
        <v>Tolima</v>
      </c>
      <c r="D1069" s="59" t="str">
        <f t="shared" si="50"/>
        <v>Fresno, Tolima</v>
      </c>
      <c r="E1069" s="55">
        <v>73283</v>
      </c>
      <c r="F1069" s="56">
        <v>0.2</v>
      </c>
      <c r="G1069" s="56">
        <v>0.2</v>
      </c>
      <c r="H1069" s="56" t="s">
        <v>36</v>
      </c>
      <c r="I1069" s="56">
        <v>0.14000000000000001</v>
      </c>
      <c r="J1069" s="57">
        <v>0.09</v>
      </c>
    </row>
    <row r="1070" spans="1:10" ht="17.25" thickBot="1" x14ac:dyDescent="0.35">
      <c r="A1070" s="58" t="s">
        <v>1025</v>
      </c>
      <c r="B1070" s="59">
        <f t="shared" si="48"/>
        <v>0</v>
      </c>
      <c r="C1070" s="59" t="str">
        <f t="shared" si="49"/>
        <v>Tolima</v>
      </c>
      <c r="D1070" s="59" t="str">
        <f t="shared" si="50"/>
        <v>Guamo, Tolima</v>
      </c>
      <c r="E1070" s="55">
        <v>73319</v>
      </c>
      <c r="F1070" s="56">
        <v>0.25</v>
      </c>
      <c r="G1070" s="56">
        <v>0.2</v>
      </c>
      <c r="H1070" s="56" t="s">
        <v>39</v>
      </c>
      <c r="I1070" s="56">
        <v>0.11</v>
      </c>
      <c r="J1070" s="57">
        <v>0.06</v>
      </c>
    </row>
    <row r="1071" spans="1:10" ht="17.25" thickBot="1" x14ac:dyDescent="0.35">
      <c r="A1071" s="58" t="s">
        <v>1026</v>
      </c>
      <c r="B1071" s="59">
        <f t="shared" si="48"/>
        <v>0</v>
      </c>
      <c r="C1071" s="59" t="str">
        <f t="shared" si="49"/>
        <v>Tolima</v>
      </c>
      <c r="D1071" s="59" t="str">
        <f t="shared" si="50"/>
        <v>Hervéo, Tolima</v>
      </c>
      <c r="E1071" s="55">
        <v>73347</v>
      </c>
      <c r="F1071" s="56">
        <v>0.2</v>
      </c>
      <c r="G1071" s="56">
        <v>0.2</v>
      </c>
      <c r="H1071" s="56" t="s">
        <v>36</v>
      </c>
      <c r="I1071" s="56">
        <v>0.16</v>
      </c>
      <c r="J1071" s="57">
        <v>0.08</v>
      </c>
    </row>
    <row r="1072" spans="1:10" ht="17.25" thickBot="1" x14ac:dyDescent="0.35">
      <c r="A1072" s="58" t="s">
        <v>1027</v>
      </c>
      <c r="B1072" s="59">
        <f t="shared" si="48"/>
        <v>0</v>
      </c>
      <c r="C1072" s="59" t="str">
        <f t="shared" si="49"/>
        <v>Tolima</v>
      </c>
      <c r="D1072" s="59" t="str">
        <f t="shared" si="50"/>
        <v>Honda, Tolima</v>
      </c>
      <c r="E1072" s="55">
        <v>73349</v>
      </c>
      <c r="F1072" s="56">
        <v>0.2</v>
      </c>
      <c r="G1072" s="56">
        <v>0.2</v>
      </c>
      <c r="H1072" s="56" t="s">
        <v>36</v>
      </c>
      <c r="I1072" s="56">
        <v>0.1</v>
      </c>
      <c r="J1072" s="57">
        <v>0.06</v>
      </c>
    </row>
    <row r="1073" spans="1:10" ht="17.25" thickBot="1" x14ac:dyDescent="0.35">
      <c r="A1073" s="58" t="s">
        <v>1028</v>
      </c>
      <c r="B1073" s="59">
        <f t="shared" si="48"/>
        <v>0</v>
      </c>
      <c r="C1073" s="59" t="str">
        <f t="shared" si="49"/>
        <v>Tolima</v>
      </c>
      <c r="D1073" s="59" t="str">
        <f t="shared" si="50"/>
        <v>Icononzo, Tolima</v>
      </c>
      <c r="E1073" s="55">
        <v>73352</v>
      </c>
      <c r="F1073" s="56">
        <v>0.2</v>
      </c>
      <c r="G1073" s="56">
        <v>0.2</v>
      </c>
      <c r="H1073" s="56" t="s">
        <v>36</v>
      </c>
      <c r="I1073" s="56">
        <v>0.08</v>
      </c>
      <c r="J1073" s="57">
        <v>0.05</v>
      </c>
    </row>
    <row r="1074" spans="1:10" ht="17.25" thickBot="1" x14ac:dyDescent="0.35">
      <c r="A1074" s="58" t="s">
        <v>1029</v>
      </c>
      <c r="B1074" s="59">
        <f t="shared" si="48"/>
        <v>0</v>
      </c>
      <c r="C1074" s="59" t="str">
        <f t="shared" si="49"/>
        <v>Tolima</v>
      </c>
      <c r="D1074" s="59" t="str">
        <f t="shared" si="50"/>
        <v>Lérida, Tolima</v>
      </c>
      <c r="E1074" s="55">
        <v>73408</v>
      </c>
      <c r="F1074" s="56">
        <v>0.2</v>
      </c>
      <c r="G1074" s="56">
        <v>0.2</v>
      </c>
      <c r="H1074" s="56" t="s">
        <v>36</v>
      </c>
      <c r="I1074" s="56">
        <v>0.11</v>
      </c>
      <c r="J1074" s="57">
        <v>0.06</v>
      </c>
    </row>
    <row r="1075" spans="1:10" ht="17.25" thickBot="1" x14ac:dyDescent="0.35">
      <c r="A1075" s="58" t="s">
        <v>1030</v>
      </c>
      <c r="B1075" s="59">
        <f t="shared" si="48"/>
        <v>0</v>
      </c>
      <c r="C1075" s="59" t="str">
        <f t="shared" si="49"/>
        <v>Tolima</v>
      </c>
      <c r="D1075" s="59" t="str">
        <f t="shared" si="50"/>
        <v>Líbano, Tolima</v>
      </c>
      <c r="E1075" s="55">
        <v>73411</v>
      </c>
      <c r="F1075" s="56">
        <v>0.2</v>
      </c>
      <c r="G1075" s="56">
        <v>0.2</v>
      </c>
      <c r="H1075" s="56" t="s">
        <v>36</v>
      </c>
      <c r="I1075" s="56">
        <v>0.12</v>
      </c>
      <c r="J1075" s="57">
        <v>7.0000000000000007E-2</v>
      </c>
    </row>
    <row r="1076" spans="1:10" ht="17.25" thickBot="1" x14ac:dyDescent="0.35">
      <c r="A1076" s="58" t="s">
        <v>1031</v>
      </c>
      <c r="B1076" s="59">
        <f t="shared" si="48"/>
        <v>0</v>
      </c>
      <c r="C1076" s="59" t="str">
        <f t="shared" si="49"/>
        <v>Tolima</v>
      </c>
      <c r="D1076" s="59" t="str">
        <f t="shared" si="50"/>
        <v>Mariquita, Tolima</v>
      </c>
      <c r="E1076" s="55">
        <v>73443</v>
      </c>
      <c r="F1076" s="56">
        <v>0.2</v>
      </c>
      <c r="G1076" s="56">
        <v>0.2</v>
      </c>
      <c r="H1076" s="56" t="s">
        <v>36</v>
      </c>
      <c r="I1076" s="56">
        <v>0.11</v>
      </c>
      <c r="J1076" s="57">
        <v>7.0000000000000007E-2</v>
      </c>
    </row>
    <row r="1077" spans="1:10" ht="17.25" thickBot="1" x14ac:dyDescent="0.35">
      <c r="A1077" s="58" t="s">
        <v>1032</v>
      </c>
      <c r="B1077" s="59">
        <f t="shared" si="48"/>
        <v>0</v>
      </c>
      <c r="C1077" s="59" t="str">
        <f t="shared" si="49"/>
        <v>Tolima</v>
      </c>
      <c r="D1077" s="59" t="str">
        <f t="shared" si="50"/>
        <v>Melgar, Tolima</v>
      </c>
      <c r="E1077" s="55">
        <v>73449</v>
      </c>
      <c r="F1077" s="56">
        <v>0.2</v>
      </c>
      <c r="G1077" s="56">
        <v>0.2</v>
      </c>
      <c r="H1077" s="56" t="s">
        <v>36</v>
      </c>
      <c r="I1077" s="56">
        <v>0.09</v>
      </c>
      <c r="J1077" s="57">
        <v>0.05</v>
      </c>
    </row>
    <row r="1078" spans="1:10" ht="17.25" thickBot="1" x14ac:dyDescent="0.35">
      <c r="A1078" s="58" t="s">
        <v>1033</v>
      </c>
      <c r="B1078" s="59">
        <f t="shared" si="48"/>
        <v>0</v>
      </c>
      <c r="C1078" s="59" t="str">
        <f t="shared" si="49"/>
        <v>Tolima</v>
      </c>
      <c r="D1078" s="59" t="str">
        <f t="shared" si="50"/>
        <v>Murillo, Tolima</v>
      </c>
      <c r="E1078" s="55">
        <v>73461</v>
      </c>
      <c r="F1078" s="56">
        <v>0.2</v>
      </c>
      <c r="G1078" s="56">
        <v>0.2</v>
      </c>
      <c r="H1078" s="56" t="s">
        <v>36</v>
      </c>
      <c r="I1078" s="56">
        <v>0.15</v>
      </c>
      <c r="J1078" s="57">
        <v>0.08</v>
      </c>
    </row>
    <row r="1079" spans="1:10" ht="17.25" thickBot="1" x14ac:dyDescent="0.35">
      <c r="A1079" s="58" t="s">
        <v>1034</v>
      </c>
      <c r="B1079" s="59">
        <f t="shared" si="48"/>
        <v>0</v>
      </c>
      <c r="C1079" s="59" t="str">
        <f t="shared" si="49"/>
        <v>Tolima</v>
      </c>
      <c r="D1079" s="59" t="str">
        <f t="shared" si="50"/>
        <v>Natagaima, Tolima</v>
      </c>
      <c r="E1079" s="55">
        <v>73483</v>
      </c>
      <c r="F1079" s="56">
        <v>0.25</v>
      </c>
      <c r="G1079" s="56">
        <v>0.25</v>
      </c>
      <c r="H1079" s="56" t="s">
        <v>39</v>
      </c>
      <c r="I1079" s="56">
        <v>0.11</v>
      </c>
      <c r="J1079" s="57">
        <v>0.06</v>
      </c>
    </row>
    <row r="1080" spans="1:10" ht="17.25" thickBot="1" x14ac:dyDescent="0.35">
      <c r="A1080" s="58" t="s">
        <v>1035</v>
      </c>
      <c r="B1080" s="59">
        <f t="shared" si="48"/>
        <v>0</v>
      </c>
      <c r="C1080" s="59" t="str">
        <f t="shared" si="49"/>
        <v>Tolima</v>
      </c>
      <c r="D1080" s="59" t="str">
        <f t="shared" si="50"/>
        <v>Ortega, Tolima</v>
      </c>
      <c r="E1080" s="55">
        <v>73504</v>
      </c>
      <c r="F1080" s="56">
        <v>0.25</v>
      </c>
      <c r="G1080" s="56">
        <v>0.2</v>
      </c>
      <c r="H1080" s="56" t="s">
        <v>39</v>
      </c>
      <c r="I1080" s="56">
        <v>0.08</v>
      </c>
      <c r="J1080" s="57">
        <v>0.05</v>
      </c>
    </row>
    <row r="1081" spans="1:10" ht="17.25" thickBot="1" x14ac:dyDescent="0.35">
      <c r="A1081" s="58" t="s">
        <v>1036</v>
      </c>
      <c r="B1081" s="59">
        <f t="shared" si="48"/>
        <v>0</v>
      </c>
      <c r="C1081" s="59" t="str">
        <f t="shared" si="49"/>
        <v>Tolima</v>
      </c>
      <c r="D1081" s="59" t="str">
        <f t="shared" si="50"/>
        <v>Palocabildo, Tolima</v>
      </c>
      <c r="E1081" s="55">
        <v>73520</v>
      </c>
      <c r="F1081" s="56">
        <v>0.2</v>
      </c>
      <c r="G1081" s="56">
        <v>0.2</v>
      </c>
      <c r="H1081" s="56" t="s">
        <v>36</v>
      </c>
      <c r="I1081" s="56">
        <v>0.13</v>
      </c>
      <c r="J1081" s="57">
        <v>0.08</v>
      </c>
    </row>
    <row r="1082" spans="1:10" ht="17.25" thickBot="1" x14ac:dyDescent="0.35">
      <c r="A1082" s="58" t="s">
        <v>1037</v>
      </c>
      <c r="B1082" s="59">
        <f t="shared" si="48"/>
        <v>0</v>
      </c>
      <c r="C1082" s="59" t="str">
        <f t="shared" si="49"/>
        <v>Tolima</v>
      </c>
      <c r="D1082" s="59" t="str">
        <f t="shared" si="50"/>
        <v>Piedras, Tolima</v>
      </c>
      <c r="E1082" s="55">
        <v>73547</v>
      </c>
      <c r="F1082" s="56">
        <v>0.2</v>
      </c>
      <c r="G1082" s="56">
        <v>0.2</v>
      </c>
      <c r="H1082" s="56" t="s">
        <v>36</v>
      </c>
      <c r="I1082" s="56">
        <v>0.14000000000000001</v>
      </c>
      <c r="J1082" s="57">
        <v>7.0000000000000007E-2</v>
      </c>
    </row>
    <row r="1083" spans="1:10" ht="17.25" thickBot="1" x14ac:dyDescent="0.35">
      <c r="A1083" s="58" t="s">
        <v>1038</v>
      </c>
      <c r="B1083" s="59">
        <f t="shared" si="48"/>
        <v>0</v>
      </c>
      <c r="C1083" s="59" t="str">
        <f t="shared" si="49"/>
        <v>Tolima</v>
      </c>
      <c r="D1083" s="59" t="str">
        <f t="shared" si="50"/>
        <v>Planadas, Tolima</v>
      </c>
      <c r="E1083" s="55">
        <v>73555</v>
      </c>
      <c r="F1083" s="56">
        <v>0.25</v>
      </c>
      <c r="G1083" s="56">
        <v>0.2</v>
      </c>
      <c r="H1083" s="56" t="s">
        <v>39</v>
      </c>
      <c r="I1083" s="56">
        <v>0.06</v>
      </c>
      <c r="J1083" s="57">
        <v>0.04</v>
      </c>
    </row>
    <row r="1084" spans="1:10" ht="17.25" thickBot="1" x14ac:dyDescent="0.35">
      <c r="A1084" s="58" t="s">
        <v>1039</v>
      </c>
      <c r="B1084" s="59">
        <f t="shared" si="48"/>
        <v>0</v>
      </c>
      <c r="C1084" s="59" t="str">
        <f t="shared" si="49"/>
        <v>Tolima</v>
      </c>
      <c r="D1084" s="59" t="str">
        <f t="shared" si="50"/>
        <v>Prado, Tolima</v>
      </c>
      <c r="E1084" s="55">
        <v>73563</v>
      </c>
      <c r="F1084" s="56">
        <v>0.25</v>
      </c>
      <c r="G1084" s="56">
        <v>0.2</v>
      </c>
      <c r="H1084" s="56" t="s">
        <v>39</v>
      </c>
      <c r="I1084" s="56">
        <v>0.13</v>
      </c>
      <c r="J1084" s="57">
        <v>0.06</v>
      </c>
    </row>
    <row r="1085" spans="1:10" ht="17.25" thickBot="1" x14ac:dyDescent="0.35">
      <c r="A1085" s="58" t="s">
        <v>1040</v>
      </c>
      <c r="B1085" s="59">
        <f t="shared" si="48"/>
        <v>0</v>
      </c>
      <c r="C1085" s="59" t="str">
        <f t="shared" si="49"/>
        <v>Tolima</v>
      </c>
      <c r="D1085" s="59" t="str">
        <f t="shared" si="50"/>
        <v>Purificación, Tolima</v>
      </c>
      <c r="E1085" s="55">
        <v>73585</v>
      </c>
      <c r="F1085" s="56">
        <v>0.25</v>
      </c>
      <c r="G1085" s="56">
        <v>0.2</v>
      </c>
      <c r="H1085" s="56" t="s">
        <v>39</v>
      </c>
      <c r="I1085" s="56">
        <v>0.14000000000000001</v>
      </c>
      <c r="J1085" s="57">
        <v>0.06</v>
      </c>
    </row>
    <row r="1086" spans="1:10" ht="17.25" thickBot="1" x14ac:dyDescent="0.35">
      <c r="A1086" s="58" t="s">
        <v>1041</v>
      </c>
      <c r="B1086" s="59">
        <f t="shared" si="48"/>
        <v>0</v>
      </c>
      <c r="C1086" s="59" t="str">
        <f t="shared" si="49"/>
        <v>Tolima</v>
      </c>
      <c r="D1086" s="59" t="str">
        <f t="shared" si="50"/>
        <v>Rioblanco, Tolima</v>
      </c>
      <c r="E1086" s="55">
        <v>73616</v>
      </c>
      <c r="F1086" s="56">
        <v>0.25</v>
      </c>
      <c r="G1086" s="56">
        <v>0.2</v>
      </c>
      <c r="H1086" s="56" t="s">
        <v>39</v>
      </c>
      <c r="I1086" s="56">
        <v>7.0000000000000007E-2</v>
      </c>
      <c r="J1086" s="57">
        <v>0.04</v>
      </c>
    </row>
    <row r="1087" spans="1:10" ht="17.25" thickBot="1" x14ac:dyDescent="0.35">
      <c r="A1087" s="58" t="s">
        <v>1042</v>
      </c>
      <c r="B1087" s="59">
        <f t="shared" si="48"/>
        <v>0</v>
      </c>
      <c r="C1087" s="59" t="str">
        <f t="shared" si="49"/>
        <v>Tolima</v>
      </c>
      <c r="D1087" s="59" t="str">
        <f t="shared" si="50"/>
        <v>Roncesvalles, Tolima</v>
      </c>
      <c r="E1087" s="55">
        <v>73622</v>
      </c>
      <c r="F1087" s="56">
        <v>0.25</v>
      </c>
      <c r="G1087" s="56">
        <v>0.2</v>
      </c>
      <c r="H1087" s="56" t="s">
        <v>39</v>
      </c>
      <c r="I1087" s="56">
        <v>0.15</v>
      </c>
      <c r="J1087" s="57">
        <v>0.08</v>
      </c>
    </row>
    <row r="1088" spans="1:10" ht="17.25" thickBot="1" x14ac:dyDescent="0.35">
      <c r="A1088" s="58" t="s">
        <v>1043</v>
      </c>
      <c r="B1088" s="59">
        <f t="shared" si="48"/>
        <v>0</v>
      </c>
      <c r="C1088" s="59" t="str">
        <f t="shared" si="49"/>
        <v>Tolima</v>
      </c>
      <c r="D1088" s="59" t="str">
        <f t="shared" si="50"/>
        <v>Rovira, Tolima</v>
      </c>
      <c r="E1088" s="55">
        <v>73624</v>
      </c>
      <c r="F1088" s="56">
        <v>0.2</v>
      </c>
      <c r="G1088" s="56">
        <v>0.2</v>
      </c>
      <c r="H1088" s="56" t="s">
        <v>36</v>
      </c>
      <c r="I1088" s="56">
        <v>0.12</v>
      </c>
      <c r="J1088" s="57">
        <v>7.0000000000000007E-2</v>
      </c>
    </row>
    <row r="1089" spans="1:10" ht="17.25" thickBot="1" x14ac:dyDescent="0.35">
      <c r="A1089" s="58" t="s">
        <v>1044</v>
      </c>
      <c r="B1089" s="59">
        <f t="shared" si="48"/>
        <v>0</v>
      </c>
      <c r="C1089" s="59" t="str">
        <f t="shared" si="49"/>
        <v>Tolima</v>
      </c>
      <c r="D1089" s="59" t="str">
        <f t="shared" si="50"/>
        <v>Saldaña, Tolima</v>
      </c>
      <c r="E1089" s="55">
        <v>73671</v>
      </c>
      <c r="F1089" s="56">
        <v>0.25</v>
      </c>
      <c r="G1089" s="56">
        <v>0.2</v>
      </c>
      <c r="H1089" s="56" t="s">
        <v>39</v>
      </c>
      <c r="I1089" s="56">
        <v>0.11</v>
      </c>
      <c r="J1089" s="57">
        <v>0.06</v>
      </c>
    </row>
    <row r="1090" spans="1:10" ht="17.25" thickBot="1" x14ac:dyDescent="0.35">
      <c r="A1090" s="58" t="s">
        <v>1045</v>
      </c>
      <c r="B1090" s="59">
        <f t="shared" si="48"/>
        <v>0</v>
      </c>
      <c r="C1090" s="59" t="str">
        <f t="shared" si="49"/>
        <v>Tolima</v>
      </c>
      <c r="D1090" s="59" t="str">
        <f t="shared" si="50"/>
        <v>San Antonio, Tolima</v>
      </c>
      <c r="E1090" s="55">
        <v>73675</v>
      </c>
      <c r="F1090" s="56">
        <v>0.25</v>
      </c>
      <c r="G1090" s="56">
        <v>0.2</v>
      </c>
      <c r="H1090" s="56" t="s">
        <v>39</v>
      </c>
      <c r="I1090" s="56">
        <v>0.1</v>
      </c>
      <c r="J1090" s="57">
        <v>0.06</v>
      </c>
    </row>
    <row r="1091" spans="1:10" ht="17.25" thickBot="1" x14ac:dyDescent="0.35">
      <c r="A1091" s="58" t="s">
        <v>148</v>
      </c>
      <c r="B1091" s="59">
        <f t="shared" ref="B1091:B1152" si="51">IFERROR(FIND("Departamento",A1091),0)</f>
        <v>0</v>
      </c>
      <c r="C1091" s="59" t="str">
        <f t="shared" ref="C1091:C1152" si="52">IF(B1091=1,IF(ISERROR(FIND("del",A1091)),MID(A1091,17,30),MID(A1091,18,30)),C1090)</f>
        <v>Tolima</v>
      </c>
      <c r="D1091" s="59" t="str">
        <f t="shared" ref="D1091:D1152" si="53">IF(B1091=1,"",CONCATENATE(A1091,", ",C1091))</f>
        <v>San Luis, Tolima</v>
      </c>
      <c r="E1091" s="55">
        <v>73678</v>
      </c>
      <c r="F1091" s="56">
        <v>0.25</v>
      </c>
      <c r="G1091" s="56">
        <v>0.2</v>
      </c>
      <c r="H1091" s="56" t="s">
        <v>39</v>
      </c>
      <c r="I1091" s="56">
        <v>0.1</v>
      </c>
      <c r="J1091" s="57">
        <v>0.06</v>
      </c>
    </row>
    <row r="1092" spans="1:10" ht="17.25" thickBot="1" x14ac:dyDescent="0.35">
      <c r="A1092" s="58" t="s">
        <v>1046</v>
      </c>
      <c r="B1092" s="59">
        <f t="shared" si="51"/>
        <v>0</v>
      </c>
      <c r="C1092" s="59" t="str">
        <f t="shared" si="52"/>
        <v>Tolima</v>
      </c>
      <c r="D1092" s="59" t="str">
        <f t="shared" si="53"/>
        <v>Santa Isabel, Tolima</v>
      </c>
      <c r="E1092" s="55">
        <v>73686</v>
      </c>
      <c r="F1092" s="56">
        <v>0.2</v>
      </c>
      <c r="G1092" s="56">
        <v>0.2</v>
      </c>
      <c r="H1092" s="56" t="s">
        <v>36</v>
      </c>
      <c r="I1092" s="56">
        <v>0.13</v>
      </c>
      <c r="J1092" s="57">
        <v>0.08</v>
      </c>
    </row>
    <row r="1093" spans="1:10" ht="17.25" thickBot="1" x14ac:dyDescent="0.35">
      <c r="A1093" s="58" t="s">
        <v>466</v>
      </c>
      <c r="B1093" s="59">
        <f t="shared" si="51"/>
        <v>0</v>
      </c>
      <c r="C1093" s="59" t="str">
        <f t="shared" si="52"/>
        <v>Tolima</v>
      </c>
      <c r="D1093" s="59" t="str">
        <f t="shared" si="53"/>
        <v>Suárez, Tolima</v>
      </c>
      <c r="E1093" s="55">
        <v>73770</v>
      </c>
      <c r="F1093" s="56">
        <v>0.25</v>
      </c>
      <c r="G1093" s="56">
        <v>0.2</v>
      </c>
      <c r="H1093" s="56" t="s">
        <v>39</v>
      </c>
      <c r="I1093" s="56">
        <v>0.13</v>
      </c>
      <c r="J1093" s="57">
        <v>0.06</v>
      </c>
    </row>
    <row r="1094" spans="1:10" ht="17.25" thickBot="1" x14ac:dyDescent="0.35">
      <c r="A1094" s="58" t="s">
        <v>1047</v>
      </c>
      <c r="B1094" s="59">
        <f t="shared" si="51"/>
        <v>0</v>
      </c>
      <c r="C1094" s="59" t="str">
        <f t="shared" si="52"/>
        <v>Tolima</v>
      </c>
      <c r="D1094" s="59" t="str">
        <f t="shared" si="53"/>
        <v>Valle De San Juan, Tolima</v>
      </c>
      <c r="E1094" s="55">
        <v>73854</v>
      </c>
      <c r="F1094" s="56">
        <v>0.25</v>
      </c>
      <c r="G1094" s="56">
        <v>0.2</v>
      </c>
      <c r="H1094" s="56" t="s">
        <v>39</v>
      </c>
      <c r="I1094" s="56">
        <v>0.1</v>
      </c>
      <c r="J1094" s="57">
        <v>0.06</v>
      </c>
    </row>
    <row r="1095" spans="1:10" ht="17.25" thickBot="1" x14ac:dyDescent="0.35">
      <c r="A1095" s="58" t="s">
        <v>1048</v>
      </c>
      <c r="B1095" s="59">
        <f t="shared" si="51"/>
        <v>0</v>
      </c>
      <c r="C1095" s="59" t="str">
        <f t="shared" si="52"/>
        <v>Tolima</v>
      </c>
      <c r="D1095" s="59" t="str">
        <f t="shared" si="53"/>
        <v>Venadillo, Tolima</v>
      </c>
      <c r="E1095" s="55">
        <v>73861</v>
      </c>
      <c r="F1095" s="56">
        <v>0.2</v>
      </c>
      <c r="G1095" s="56">
        <v>0.2</v>
      </c>
      <c r="H1095" s="56" t="s">
        <v>36</v>
      </c>
      <c r="I1095" s="56">
        <v>0.11</v>
      </c>
      <c r="J1095" s="57">
        <v>7.0000000000000007E-2</v>
      </c>
    </row>
    <row r="1096" spans="1:10" ht="17.25" thickBot="1" x14ac:dyDescent="0.35">
      <c r="A1096" s="58" t="s">
        <v>1049</v>
      </c>
      <c r="B1096" s="59">
        <f t="shared" si="51"/>
        <v>0</v>
      </c>
      <c r="C1096" s="59" t="str">
        <f t="shared" si="52"/>
        <v>Tolima</v>
      </c>
      <c r="D1096" s="59" t="str">
        <f t="shared" si="53"/>
        <v>Villahermosa, Tolima</v>
      </c>
      <c r="E1096" s="55">
        <v>73870</v>
      </c>
      <c r="F1096" s="56">
        <v>0.2</v>
      </c>
      <c r="G1096" s="56">
        <v>0.2</v>
      </c>
      <c r="H1096" s="56" t="s">
        <v>36</v>
      </c>
      <c r="I1096" s="56">
        <v>0.15</v>
      </c>
      <c r="J1096" s="57">
        <v>0.08</v>
      </c>
    </row>
    <row r="1097" spans="1:10" ht="17.25" thickBot="1" x14ac:dyDescent="0.35">
      <c r="A1097" s="58" t="s">
        <v>1050</v>
      </c>
      <c r="B1097" s="59">
        <f t="shared" si="51"/>
        <v>0</v>
      </c>
      <c r="C1097" s="59" t="str">
        <f t="shared" si="52"/>
        <v>Tolima</v>
      </c>
      <c r="D1097" s="59" t="str">
        <f t="shared" si="53"/>
        <v>Villarrica, Tolima</v>
      </c>
      <c r="E1097" s="55">
        <v>73873</v>
      </c>
      <c r="F1097" s="56">
        <v>0.25</v>
      </c>
      <c r="G1097" s="56">
        <v>0.2</v>
      </c>
      <c r="H1097" s="56" t="s">
        <v>39</v>
      </c>
      <c r="I1097" s="56">
        <v>0.09</v>
      </c>
      <c r="J1097" s="57">
        <v>0.05</v>
      </c>
    </row>
    <row r="1098" spans="1:10" ht="17.25" thickBot="1" x14ac:dyDescent="0.35">
      <c r="A1098" s="43" t="s">
        <v>1051</v>
      </c>
      <c r="B1098" s="44">
        <f t="shared" si="51"/>
        <v>1</v>
      </c>
      <c r="C1098" s="44" t="str">
        <f t="shared" si="52"/>
        <v>Valle</v>
      </c>
      <c r="D1098" s="44" t="str">
        <f t="shared" si="53"/>
        <v/>
      </c>
      <c r="E1098" s="45"/>
      <c r="F1098" s="46"/>
      <c r="G1098" s="46"/>
      <c r="H1098" s="46"/>
      <c r="I1098" s="46"/>
      <c r="J1098" s="47"/>
    </row>
    <row r="1099" spans="1:10" ht="17.25" thickBot="1" x14ac:dyDescent="0.35">
      <c r="A1099" s="53" t="s">
        <v>1052</v>
      </c>
      <c r="B1099" s="54">
        <f t="shared" si="51"/>
        <v>0</v>
      </c>
      <c r="C1099" s="54" t="str">
        <f t="shared" si="52"/>
        <v>Valle</v>
      </c>
      <c r="D1099" s="54" t="str">
        <f t="shared" si="53"/>
        <v>Cali, Valle</v>
      </c>
      <c r="E1099" s="55">
        <v>76001</v>
      </c>
      <c r="F1099" s="56">
        <v>0.25</v>
      </c>
      <c r="G1099" s="56">
        <v>0.25</v>
      </c>
      <c r="H1099" s="56" t="s">
        <v>39</v>
      </c>
      <c r="I1099" s="56">
        <v>0.15</v>
      </c>
      <c r="J1099" s="57">
        <v>0.09</v>
      </c>
    </row>
    <row r="1100" spans="1:10" ht="17.25" thickBot="1" x14ac:dyDescent="0.35">
      <c r="A1100" s="58" t="s">
        <v>1053</v>
      </c>
      <c r="B1100" s="59">
        <f t="shared" si="51"/>
        <v>0</v>
      </c>
      <c r="C1100" s="59" t="str">
        <f t="shared" si="52"/>
        <v>Valle</v>
      </c>
      <c r="D1100" s="59" t="str">
        <f t="shared" si="53"/>
        <v>Alcalá, Valle</v>
      </c>
      <c r="E1100" s="55">
        <v>76020</v>
      </c>
      <c r="F1100" s="56">
        <v>0.25</v>
      </c>
      <c r="G1100" s="56">
        <v>0.25</v>
      </c>
      <c r="H1100" s="56" t="s">
        <v>39</v>
      </c>
      <c r="I1100" s="56">
        <v>0.16</v>
      </c>
      <c r="J1100" s="57">
        <v>0.1</v>
      </c>
    </row>
    <row r="1101" spans="1:10" ht="17.25" thickBot="1" x14ac:dyDescent="0.35">
      <c r="A1101" s="58" t="s">
        <v>1054</v>
      </c>
      <c r="B1101" s="59">
        <f t="shared" si="51"/>
        <v>0</v>
      </c>
      <c r="C1101" s="59" t="str">
        <f t="shared" si="52"/>
        <v>Valle</v>
      </c>
      <c r="D1101" s="59" t="str">
        <f t="shared" si="53"/>
        <v>Andalucía, Valle</v>
      </c>
      <c r="E1101" s="55">
        <v>76036</v>
      </c>
      <c r="F1101" s="56">
        <v>0.25</v>
      </c>
      <c r="G1101" s="56">
        <v>0.25</v>
      </c>
      <c r="H1101" s="56" t="s">
        <v>39</v>
      </c>
      <c r="I1101" s="56">
        <v>0.14000000000000001</v>
      </c>
      <c r="J1101" s="57">
        <v>0.09</v>
      </c>
    </row>
    <row r="1102" spans="1:10" ht="17.25" thickBot="1" x14ac:dyDescent="0.35">
      <c r="A1102" s="58" t="s">
        <v>1055</v>
      </c>
      <c r="B1102" s="59">
        <f t="shared" si="51"/>
        <v>0</v>
      </c>
      <c r="C1102" s="59" t="str">
        <f t="shared" si="52"/>
        <v>Valle</v>
      </c>
      <c r="D1102" s="59" t="str">
        <f t="shared" si="53"/>
        <v>AnsermaNuevo, Valle</v>
      </c>
      <c r="E1102" s="55">
        <v>76041</v>
      </c>
      <c r="F1102" s="56">
        <v>0.25</v>
      </c>
      <c r="G1102" s="56">
        <v>0.3</v>
      </c>
      <c r="H1102" s="56" t="s">
        <v>39</v>
      </c>
      <c r="I1102" s="56">
        <v>0.16</v>
      </c>
      <c r="J1102" s="57">
        <v>0.1</v>
      </c>
    </row>
    <row r="1103" spans="1:10" ht="17.25" thickBot="1" x14ac:dyDescent="0.35">
      <c r="A1103" s="58" t="s">
        <v>63</v>
      </c>
      <c r="B1103" s="59">
        <f t="shared" si="51"/>
        <v>0</v>
      </c>
      <c r="C1103" s="59" t="str">
        <f t="shared" si="52"/>
        <v>Valle</v>
      </c>
      <c r="D1103" s="59" t="str">
        <f t="shared" si="53"/>
        <v>Argelia, Valle</v>
      </c>
      <c r="E1103" s="55">
        <v>76054</v>
      </c>
      <c r="F1103" s="56">
        <v>0.3</v>
      </c>
      <c r="G1103" s="56">
        <v>0.3</v>
      </c>
      <c r="H1103" s="56" t="s">
        <v>39</v>
      </c>
      <c r="I1103" s="56">
        <v>0.16</v>
      </c>
      <c r="J1103" s="57">
        <v>0.1</v>
      </c>
    </row>
    <row r="1104" spans="1:10" ht="17.25" thickBot="1" x14ac:dyDescent="0.35">
      <c r="A1104" s="58" t="s">
        <v>16</v>
      </c>
      <c r="B1104" s="59">
        <f t="shared" si="51"/>
        <v>0</v>
      </c>
      <c r="C1104" s="59" t="str">
        <f t="shared" si="52"/>
        <v>Valle</v>
      </c>
      <c r="D1104" s="59" t="str">
        <f t="shared" si="53"/>
        <v>Bolívar, Valle</v>
      </c>
      <c r="E1104" s="55">
        <v>76100</v>
      </c>
      <c r="F1104" s="56">
        <v>0.3</v>
      </c>
      <c r="G1104" s="56">
        <v>0.3</v>
      </c>
      <c r="H1104" s="56" t="s">
        <v>39</v>
      </c>
      <c r="I1104" s="56">
        <v>0.16</v>
      </c>
      <c r="J1104" s="57">
        <v>0.1</v>
      </c>
    </row>
    <row r="1105" spans="1:10" ht="17.25" thickBot="1" x14ac:dyDescent="0.35">
      <c r="A1105" s="58" t="s">
        <v>1056</v>
      </c>
      <c r="B1105" s="59">
        <f t="shared" si="51"/>
        <v>0</v>
      </c>
      <c r="C1105" s="59" t="str">
        <f t="shared" si="52"/>
        <v>Valle</v>
      </c>
      <c r="D1105" s="59" t="str">
        <f t="shared" si="53"/>
        <v>Buenaventura, Valle</v>
      </c>
      <c r="E1105" s="55">
        <v>76109</v>
      </c>
      <c r="F1105" s="56">
        <v>0.4</v>
      </c>
      <c r="G1105" s="56">
        <v>0.35</v>
      </c>
      <c r="H1105" s="56" t="s">
        <v>39</v>
      </c>
      <c r="I1105" s="56">
        <v>0.13</v>
      </c>
      <c r="J1105" s="57">
        <v>0.08</v>
      </c>
    </row>
    <row r="1106" spans="1:10" ht="17.25" thickBot="1" x14ac:dyDescent="0.35">
      <c r="A1106" s="58" t="s">
        <v>1057</v>
      </c>
      <c r="B1106" s="59">
        <f t="shared" si="51"/>
        <v>0</v>
      </c>
      <c r="C1106" s="59" t="str">
        <f t="shared" si="52"/>
        <v>Valle</v>
      </c>
      <c r="D1106" s="59" t="str">
        <f t="shared" si="53"/>
        <v>Buga, Valle</v>
      </c>
      <c r="E1106" s="55">
        <v>76111</v>
      </c>
      <c r="F1106" s="56">
        <v>0.25</v>
      </c>
      <c r="G1106" s="56">
        <v>0.2</v>
      </c>
      <c r="H1106" s="56" t="s">
        <v>39</v>
      </c>
      <c r="I1106" s="56">
        <v>0.11</v>
      </c>
      <c r="J1106" s="57">
        <v>7.0000000000000007E-2</v>
      </c>
    </row>
    <row r="1107" spans="1:10" ht="17.25" thickBot="1" x14ac:dyDescent="0.35">
      <c r="A1107" s="58" t="s">
        <v>1058</v>
      </c>
      <c r="B1107" s="59">
        <f t="shared" si="51"/>
        <v>0</v>
      </c>
      <c r="C1107" s="59" t="str">
        <f t="shared" si="52"/>
        <v>Valle</v>
      </c>
      <c r="D1107" s="59" t="str">
        <f t="shared" si="53"/>
        <v>Bugalagrande, Valle</v>
      </c>
      <c r="E1107" s="55">
        <v>76113</v>
      </c>
      <c r="F1107" s="56">
        <v>0.25</v>
      </c>
      <c r="G1107" s="56">
        <v>0.25</v>
      </c>
      <c r="H1107" s="56" t="s">
        <v>39</v>
      </c>
      <c r="I1107" s="56">
        <v>0.13</v>
      </c>
      <c r="J1107" s="57">
        <v>0.08</v>
      </c>
    </row>
    <row r="1108" spans="1:10" ht="17.25" thickBot="1" x14ac:dyDescent="0.35">
      <c r="A1108" s="58" t="s">
        <v>1059</v>
      </c>
      <c r="B1108" s="59">
        <f t="shared" si="51"/>
        <v>0</v>
      </c>
      <c r="C1108" s="59" t="str">
        <f t="shared" si="52"/>
        <v>Valle</v>
      </c>
      <c r="D1108" s="59" t="str">
        <f t="shared" si="53"/>
        <v>Caicedonia, Valle</v>
      </c>
      <c r="E1108" s="55">
        <v>76122</v>
      </c>
      <c r="F1108" s="56">
        <v>0.25</v>
      </c>
      <c r="G1108" s="56">
        <v>0.2</v>
      </c>
      <c r="H1108" s="56" t="s">
        <v>39</v>
      </c>
      <c r="I1108" s="56">
        <v>0.14000000000000001</v>
      </c>
      <c r="J1108" s="57">
        <v>0.08</v>
      </c>
    </row>
    <row r="1109" spans="1:10" ht="17.25" thickBot="1" x14ac:dyDescent="0.35">
      <c r="A1109" s="58" t="s">
        <v>1060</v>
      </c>
      <c r="B1109" s="59">
        <f t="shared" si="51"/>
        <v>0</v>
      </c>
      <c r="C1109" s="59" t="str">
        <f t="shared" si="52"/>
        <v>Valle</v>
      </c>
      <c r="D1109" s="59" t="str">
        <f t="shared" si="53"/>
        <v>Calima, Valle</v>
      </c>
      <c r="E1109" s="55">
        <v>76126</v>
      </c>
      <c r="F1109" s="56">
        <v>0.3</v>
      </c>
      <c r="G1109" s="56">
        <v>0.3</v>
      </c>
      <c r="H1109" s="56" t="s">
        <v>39</v>
      </c>
      <c r="I1109" s="56">
        <v>0.1</v>
      </c>
      <c r="J1109" s="57">
        <v>7.0000000000000007E-2</v>
      </c>
    </row>
    <row r="1110" spans="1:10" ht="17.25" thickBot="1" x14ac:dyDescent="0.35">
      <c r="A1110" s="58" t="s">
        <v>193</v>
      </c>
      <c r="B1110" s="59">
        <f t="shared" si="51"/>
        <v>0</v>
      </c>
      <c r="C1110" s="59" t="str">
        <f t="shared" si="52"/>
        <v>Valle</v>
      </c>
      <c r="D1110" s="59" t="str">
        <f t="shared" si="53"/>
        <v>Candelaria, Valle</v>
      </c>
      <c r="E1110" s="55">
        <v>76130</v>
      </c>
      <c r="F1110" s="56">
        <v>0.25</v>
      </c>
      <c r="G1110" s="56">
        <v>0.2</v>
      </c>
      <c r="H1110" s="56" t="s">
        <v>39</v>
      </c>
      <c r="I1110" s="56">
        <v>0.1</v>
      </c>
      <c r="J1110" s="57">
        <v>7.0000000000000007E-2</v>
      </c>
    </row>
    <row r="1111" spans="1:10" ht="17.25" thickBot="1" x14ac:dyDescent="0.35">
      <c r="A1111" s="58" t="s">
        <v>1061</v>
      </c>
      <c r="B1111" s="59">
        <f t="shared" si="51"/>
        <v>0</v>
      </c>
      <c r="C1111" s="59" t="str">
        <f t="shared" si="52"/>
        <v>Valle</v>
      </c>
      <c r="D1111" s="59" t="str">
        <f t="shared" si="53"/>
        <v>Cartago, Valle</v>
      </c>
      <c r="E1111" s="55">
        <v>76147</v>
      </c>
      <c r="F1111" s="56">
        <v>0.25</v>
      </c>
      <c r="G1111" s="56">
        <v>0.25</v>
      </c>
      <c r="H1111" s="56" t="s">
        <v>39</v>
      </c>
      <c r="I1111" s="56">
        <v>0.16</v>
      </c>
      <c r="J1111" s="57">
        <v>0.1</v>
      </c>
    </row>
    <row r="1112" spans="1:10" ht="17.25" thickBot="1" x14ac:dyDescent="0.35">
      <c r="A1112" s="58" t="s">
        <v>1062</v>
      </c>
      <c r="B1112" s="59">
        <f t="shared" si="51"/>
        <v>0</v>
      </c>
      <c r="C1112" s="59" t="str">
        <f t="shared" si="52"/>
        <v>Valle</v>
      </c>
      <c r="D1112" s="59" t="str">
        <f t="shared" si="53"/>
        <v>Dagua, Valle</v>
      </c>
      <c r="E1112" s="55">
        <v>76233</v>
      </c>
      <c r="F1112" s="56">
        <v>0.25</v>
      </c>
      <c r="G1112" s="56">
        <v>0.25</v>
      </c>
      <c r="H1112" s="56" t="s">
        <v>39</v>
      </c>
      <c r="I1112" s="56">
        <v>0.09</v>
      </c>
      <c r="J1112" s="57">
        <v>0.06</v>
      </c>
    </row>
    <row r="1113" spans="1:10" ht="17.25" thickBot="1" x14ac:dyDescent="0.35">
      <c r="A1113" s="58" t="s">
        <v>1063</v>
      </c>
      <c r="B1113" s="59">
        <f t="shared" si="51"/>
        <v>0</v>
      </c>
      <c r="C1113" s="59" t="str">
        <f t="shared" si="52"/>
        <v>Valle</v>
      </c>
      <c r="D1113" s="59" t="str">
        <f t="shared" si="53"/>
        <v>El Águila, Valle</v>
      </c>
      <c r="E1113" s="55">
        <v>76243</v>
      </c>
      <c r="F1113" s="56">
        <v>0.3</v>
      </c>
      <c r="G1113" s="56">
        <v>0.3</v>
      </c>
      <c r="H1113" s="56" t="s">
        <v>39</v>
      </c>
      <c r="I1113" s="56">
        <v>0.16</v>
      </c>
      <c r="J1113" s="57">
        <v>0.1</v>
      </c>
    </row>
    <row r="1114" spans="1:10" ht="17.25" thickBot="1" x14ac:dyDescent="0.35">
      <c r="A1114" s="58" t="s">
        <v>1064</v>
      </c>
      <c r="B1114" s="59">
        <f t="shared" si="51"/>
        <v>0</v>
      </c>
      <c r="C1114" s="59" t="str">
        <f t="shared" si="52"/>
        <v>Valle</v>
      </c>
      <c r="D1114" s="59" t="str">
        <f t="shared" si="53"/>
        <v>El Cairo, Valle</v>
      </c>
      <c r="E1114" s="55">
        <v>76246</v>
      </c>
      <c r="F1114" s="56">
        <v>0.3</v>
      </c>
      <c r="G1114" s="56">
        <v>0.3</v>
      </c>
      <c r="H1114" s="56" t="s">
        <v>39</v>
      </c>
      <c r="I1114" s="56">
        <v>0.16</v>
      </c>
      <c r="J1114" s="57">
        <v>0.1</v>
      </c>
    </row>
    <row r="1115" spans="1:10" ht="17.25" thickBot="1" x14ac:dyDescent="0.35">
      <c r="A1115" s="58" t="s">
        <v>1065</v>
      </c>
      <c r="B1115" s="59">
        <f t="shared" si="51"/>
        <v>0</v>
      </c>
      <c r="C1115" s="59" t="str">
        <f t="shared" si="52"/>
        <v>Valle</v>
      </c>
      <c r="D1115" s="59" t="str">
        <f t="shared" si="53"/>
        <v>El Cerrito, Valle</v>
      </c>
      <c r="E1115" s="55">
        <v>76248</v>
      </c>
      <c r="F1115" s="56">
        <v>0.25</v>
      </c>
      <c r="G1115" s="56">
        <v>0.2</v>
      </c>
      <c r="H1115" s="56" t="s">
        <v>39</v>
      </c>
      <c r="I1115" s="56">
        <v>0.11</v>
      </c>
      <c r="J1115" s="57">
        <v>7.0000000000000007E-2</v>
      </c>
    </row>
    <row r="1116" spans="1:10" ht="17.25" thickBot="1" x14ac:dyDescent="0.35">
      <c r="A1116" s="58" t="s">
        <v>1066</v>
      </c>
      <c r="B1116" s="59">
        <f t="shared" si="51"/>
        <v>0</v>
      </c>
      <c r="C1116" s="59" t="str">
        <f t="shared" si="52"/>
        <v>Valle</v>
      </c>
      <c r="D1116" s="59" t="str">
        <f t="shared" si="53"/>
        <v>El Dovio, Valle</v>
      </c>
      <c r="E1116" s="55">
        <v>76250</v>
      </c>
      <c r="F1116" s="56">
        <v>0.3</v>
      </c>
      <c r="G1116" s="56">
        <v>0.3</v>
      </c>
      <c r="H1116" s="56" t="s">
        <v>39</v>
      </c>
      <c r="I1116" s="56">
        <v>0.18</v>
      </c>
      <c r="J1116" s="57">
        <v>0.1</v>
      </c>
    </row>
    <row r="1117" spans="1:10" ht="17.25" thickBot="1" x14ac:dyDescent="0.35">
      <c r="A1117" s="58" t="s">
        <v>1067</v>
      </c>
      <c r="B1117" s="59">
        <f t="shared" si="51"/>
        <v>0</v>
      </c>
      <c r="C1117" s="59" t="str">
        <f t="shared" si="52"/>
        <v>Valle</v>
      </c>
      <c r="D1117" s="59" t="str">
        <f t="shared" si="53"/>
        <v>Florida, Valle</v>
      </c>
      <c r="E1117" s="55">
        <v>76275</v>
      </c>
      <c r="F1117" s="56">
        <v>0.25</v>
      </c>
      <c r="G1117" s="56">
        <v>0.2</v>
      </c>
      <c r="H1117" s="56" t="s">
        <v>39</v>
      </c>
      <c r="I1117" s="56">
        <v>0.1</v>
      </c>
      <c r="J1117" s="57">
        <v>0.06</v>
      </c>
    </row>
    <row r="1118" spans="1:10" ht="17.25" thickBot="1" x14ac:dyDescent="0.35">
      <c r="A1118" s="58" t="s">
        <v>1068</v>
      </c>
      <c r="B1118" s="59">
        <f t="shared" si="51"/>
        <v>0</v>
      </c>
      <c r="C1118" s="59" t="str">
        <f t="shared" si="52"/>
        <v>Valle</v>
      </c>
      <c r="D1118" s="59" t="str">
        <f t="shared" si="53"/>
        <v>Ginebra, Valle</v>
      </c>
      <c r="E1118" s="55">
        <v>76306</v>
      </c>
      <c r="F1118" s="56">
        <v>0.25</v>
      </c>
      <c r="G1118" s="56">
        <v>0.2</v>
      </c>
      <c r="H1118" s="56" t="s">
        <v>39</v>
      </c>
      <c r="I1118" s="56">
        <v>0.11</v>
      </c>
      <c r="J1118" s="57">
        <v>7.0000000000000007E-2</v>
      </c>
    </row>
    <row r="1119" spans="1:10" ht="17.25" thickBot="1" x14ac:dyDescent="0.35">
      <c r="A1119" s="58" t="s">
        <v>1069</v>
      </c>
      <c r="B1119" s="59">
        <f t="shared" si="51"/>
        <v>0</v>
      </c>
      <c r="C1119" s="59" t="str">
        <f t="shared" si="52"/>
        <v>Valle</v>
      </c>
      <c r="D1119" s="59" t="str">
        <f t="shared" si="53"/>
        <v>Guacarí, Valle</v>
      </c>
      <c r="E1119" s="55">
        <v>76318</v>
      </c>
      <c r="F1119" s="56">
        <v>0.25</v>
      </c>
      <c r="G1119" s="56">
        <v>0.25</v>
      </c>
      <c r="H1119" s="56" t="s">
        <v>39</v>
      </c>
      <c r="I1119" s="56">
        <v>0.12</v>
      </c>
      <c r="J1119" s="57">
        <v>0.08</v>
      </c>
    </row>
    <row r="1120" spans="1:10" ht="17.25" thickBot="1" x14ac:dyDescent="0.35">
      <c r="A1120" s="58" t="s">
        <v>1070</v>
      </c>
      <c r="B1120" s="59">
        <f t="shared" si="51"/>
        <v>0</v>
      </c>
      <c r="C1120" s="59" t="str">
        <f t="shared" si="52"/>
        <v>Valle</v>
      </c>
      <c r="D1120" s="59" t="str">
        <f t="shared" si="53"/>
        <v>Jamundí, Valle</v>
      </c>
      <c r="E1120" s="55">
        <v>76364</v>
      </c>
      <c r="F1120" s="56">
        <v>0.25</v>
      </c>
      <c r="G1120" s="56">
        <v>0.25</v>
      </c>
      <c r="H1120" s="56" t="s">
        <v>39</v>
      </c>
      <c r="I1120" s="56">
        <v>0.16</v>
      </c>
      <c r="J1120" s="57">
        <v>0.1</v>
      </c>
    </row>
    <row r="1121" spans="1:10" ht="17.25" thickBot="1" x14ac:dyDescent="0.35">
      <c r="A1121" s="58" t="s">
        <v>1071</v>
      </c>
      <c r="B1121" s="59">
        <f t="shared" si="51"/>
        <v>0</v>
      </c>
      <c r="C1121" s="59" t="str">
        <f t="shared" si="52"/>
        <v>Valle</v>
      </c>
      <c r="D1121" s="59" t="str">
        <f t="shared" si="53"/>
        <v>La Cumbre, Valle</v>
      </c>
      <c r="E1121" s="55">
        <v>76377</v>
      </c>
      <c r="F1121" s="56">
        <v>0.25</v>
      </c>
      <c r="G1121" s="56">
        <v>0.25</v>
      </c>
      <c r="H1121" s="56" t="s">
        <v>39</v>
      </c>
      <c r="I1121" s="56">
        <v>0.11</v>
      </c>
      <c r="J1121" s="57">
        <v>0.08</v>
      </c>
    </row>
    <row r="1122" spans="1:10" ht="17.25" thickBot="1" x14ac:dyDescent="0.35">
      <c r="A1122" s="58" t="s">
        <v>120</v>
      </c>
      <c r="B1122" s="59">
        <f t="shared" si="51"/>
        <v>0</v>
      </c>
      <c r="C1122" s="59" t="str">
        <f t="shared" si="52"/>
        <v>Valle</v>
      </c>
      <c r="D1122" s="59" t="str">
        <f t="shared" si="53"/>
        <v>La Unión, Valle</v>
      </c>
      <c r="E1122" s="55">
        <v>76400</v>
      </c>
      <c r="F1122" s="56">
        <v>0.25</v>
      </c>
      <c r="G1122" s="56">
        <v>0.25</v>
      </c>
      <c r="H1122" s="56" t="s">
        <v>39</v>
      </c>
      <c r="I1122" s="56">
        <v>0.16</v>
      </c>
      <c r="J1122" s="57">
        <v>0.13</v>
      </c>
    </row>
    <row r="1123" spans="1:10" ht="17.25" thickBot="1" x14ac:dyDescent="0.35">
      <c r="A1123" s="58" t="s">
        <v>19</v>
      </c>
      <c r="B1123" s="59">
        <f t="shared" si="51"/>
        <v>0</v>
      </c>
      <c r="C1123" s="59" t="str">
        <f t="shared" si="52"/>
        <v>Valle</v>
      </c>
      <c r="D1123" s="59" t="str">
        <f t="shared" si="53"/>
        <v>La Victoria, Valle</v>
      </c>
      <c r="E1123" s="55">
        <v>76403</v>
      </c>
      <c r="F1123" s="56">
        <v>0.25</v>
      </c>
      <c r="G1123" s="56">
        <v>0.25</v>
      </c>
      <c r="H1123" s="56" t="s">
        <v>39</v>
      </c>
      <c r="I1123" s="56">
        <v>0.15</v>
      </c>
      <c r="J1123" s="57">
        <v>0.1</v>
      </c>
    </row>
    <row r="1124" spans="1:10" ht="17.25" thickBot="1" x14ac:dyDescent="0.35">
      <c r="A1124" s="58" t="s">
        <v>1072</v>
      </c>
      <c r="B1124" s="59">
        <f t="shared" si="51"/>
        <v>0</v>
      </c>
      <c r="C1124" s="59" t="str">
        <f t="shared" si="52"/>
        <v>Valle</v>
      </c>
      <c r="D1124" s="59" t="str">
        <f t="shared" si="53"/>
        <v>Obando, Valle</v>
      </c>
      <c r="E1124" s="55">
        <v>76497</v>
      </c>
      <c r="F1124" s="56">
        <v>0.25</v>
      </c>
      <c r="G1124" s="56">
        <v>0.25</v>
      </c>
      <c r="H1124" s="56" t="s">
        <v>39</v>
      </c>
      <c r="I1124" s="56">
        <v>0.16</v>
      </c>
      <c r="J1124" s="57">
        <v>0.1</v>
      </c>
    </row>
    <row r="1125" spans="1:10" ht="17.25" thickBot="1" x14ac:dyDescent="0.35">
      <c r="A1125" s="58" t="s">
        <v>1073</v>
      </c>
      <c r="B1125" s="59">
        <f t="shared" si="51"/>
        <v>0</v>
      </c>
      <c r="C1125" s="59" t="str">
        <f t="shared" si="52"/>
        <v>Valle</v>
      </c>
      <c r="D1125" s="59" t="str">
        <f t="shared" si="53"/>
        <v>Palmira, Valle</v>
      </c>
      <c r="E1125" s="55">
        <v>76520</v>
      </c>
      <c r="F1125" s="56">
        <v>0.25</v>
      </c>
      <c r="G1125" s="56">
        <v>0.2</v>
      </c>
      <c r="H1125" s="56" t="s">
        <v>39</v>
      </c>
      <c r="I1125" s="56">
        <v>0.12</v>
      </c>
      <c r="J1125" s="57">
        <v>7.0000000000000007E-2</v>
      </c>
    </row>
    <row r="1126" spans="1:10" ht="17.25" thickBot="1" x14ac:dyDescent="0.35">
      <c r="A1126" s="58" t="s">
        <v>1074</v>
      </c>
      <c r="B1126" s="59">
        <f t="shared" si="51"/>
        <v>0</v>
      </c>
      <c r="C1126" s="59" t="str">
        <f t="shared" si="52"/>
        <v>Valle</v>
      </c>
      <c r="D1126" s="59" t="str">
        <f t="shared" si="53"/>
        <v>Pradera, Valle</v>
      </c>
      <c r="E1126" s="55">
        <v>76563</v>
      </c>
      <c r="F1126" s="56">
        <v>0.25</v>
      </c>
      <c r="G1126" s="56">
        <v>0.2</v>
      </c>
      <c r="H1126" s="56" t="s">
        <v>39</v>
      </c>
      <c r="I1126" s="56">
        <v>0.12</v>
      </c>
      <c r="J1126" s="57">
        <v>0.06</v>
      </c>
    </row>
    <row r="1127" spans="1:10" ht="17.25" thickBot="1" x14ac:dyDescent="0.35">
      <c r="A1127" s="58" t="s">
        <v>778</v>
      </c>
      <c r="B1127" s="59">
        <f t="shared" si="51"/>
        <v>0</v>
      </c>
      <c r="C1127" s="59" t="str">
        <f t="shared" si="52"/>
        <v>Valle</v>
      </c>
      <c r="D1127" s="59" t="str">
        <f t="shared" si="53"/>
        <v>Restrepo, Valle</v>
      </c>
      <c r="E1127" s="55">
        <v>76606</v>
      </c>
      <c r="F1127" s="56">
        <v>0.25</v>
      </c>
      <c r="G1127" s="56">
        <v>0.25</v>
      </c>
      <c r="H1127" s="56" t="s">
        <v>39</v>
      </c>
      <c r="I1127" s="56">
        <v>0.11</v>
      </c>
      <c r="J1127" s="57">
        <v>0.08</v>
      </c>
    </row>
    <row r="1128" spans="1:10" ht="17.25" thickBot="1" x14ac:dyDescent="0.35">
      <c r="A1128" s="58" t="s">
        <v>1075</v>
      </c>
      <c r="B1128" s="59">
        <f t="shared" si="51"/>
        <v>0</v>
      </c>
      <c r="C1128" s="59" t="str">
        <f t="shared" si="52"/>
        <v>Valle</v>
      </c>
      <c r="D1128" s="59" t="str">
        <f t="shared" si="53"/>
        <v>Riofrío, Valle</v>
      </c>
      <c r="E1128" s="55">
        <v>76616</v>
      </c>
      <c r="F1128" s="56">
        <v>0.25</v>
      </c>
      <c r="G1128" s="56">
        <v>0.25</v>
      </c>
      <c r="H1128" s="56" t="s">
        <v>39</v>
      </c>
      <c r="I1128" s="56">
        <v>0.16</v>
      </c>
      <c r="J1128" s="57">
        <v>0.1</v>
      </c>
    </row>
    <row r="1129" spans="1:10" ht="17.25" thickBot="1" x14ac:dyDescent="0.35">
      <c r="A1129" s="58" t="s">
        <v>1076</v>
      </c>
      <c r="B1129" s="59">
        <f t="shared" si="51"/>
        <v>0</v>
      </c>
      <c r="C1129" s="59" t="str">
        <f t="shared" si="52"/>
        <v>Valle</v>
      </c>
      <c r="D1129" s="59" t="str">
        <f t="shared" si="53"/>
        <v>Roldanillo, Valle</v>
      </c>
      <c r="E1129" s="55">
        <v>76622</v>
      </c>
      <c r="F1129" s="56">
        <v>0.25</v>
      </c>
      <c r="G1129" s="56">
        <v>0.25</v>
      </c>
      <c r="H1129" s="56" t="s">
        <v>39</v>
      </c>
      <c r="I1129" s="56">
        <v>0.16</v>
      </c>
      <c r="J1129" s="57">
        <v>0.1</v>
      </c>
    </row>
    <row r="1130" spans="1:10" ht="17.25" thickBot="1" x14ac:dyDescent="0.35">
      <c r="A1130" s="58" t="s">
        <v>149</v>
      </c>
      <c r="B1130" s="59">
        <f t="shared" si="51"/>
        <v>0</v>
      </c>
      <c r="C1130" s="59" t="str">
        <f t="shared" si="52"/>
        <v>Valle</v>
      </c>
      <c r="D1130" s="59" t="str">
        <f t="shared" si="53"/>
        <v>San Pedro, Valle</v>
      </c>
      <c r="E1130" s="55">
        <v>76670</v>
      </c>
      <c r="F1130" s="56">
        <v>0.25</v>
      </c>
      <c r="G1130" s="56">
        <v>0.25</v>
      </c>
      <c r="H1130" s="56" t="s">
        <v>39</v>
      </c>
      <c r="I1130" s="56">
        <v>0.12</v>
      </c>
      <c r="J1130" s="57">
        <v>0.08</v>
      </c>
    </row>
    <row r="1131" spans="1:10" ht="17.25" thickBot="1" x14ac:dyDescent="0.35">
      <c r="A1131" s="58" t="s">
        <v>1077</v>
      </c>
      <c r="B1131" s="59">
        <f t="shared" si="51"/>
        <v>0</v>
      </c>
      <c r="C1131" s="59" t="str">
        <f t="shared" si="52"/>
        <v>Valle</v>
      </c>
      <c r="D1131" s="59" t="str">
        <f t="shared" si="53"/>
        <v>SeVilla, Valle</v>
      </c>
      <c r="E1131" s="55">
        <v>76736</v>
      </c>
      <c r="F1131" s="56">
        <v>0.25</v>
      </c>
      <c r="G1131" s="56">
        <v>0.2</v>
      </c>
      <c r="H1131" s="56" t="s">
        <v>39</v>
      </c>
      <c r="I1131" s="56">
        <v>0.13</v>
      </c>
      <c r="J1131" s="57">
        <v>0.08</v>
      </c>
    </row>
    <row r="1132" spans="1:10" ht="17.25" thickBot="1" x14ac:dyDescent="0.35">
      <c r="A1132" s="58" t="s">
        <v>1078</v>
      </c>
      <c r="B1132" s="59">
        <f t="shared" si="51"/>
        <v>0</v>
      </c>
      <c r="C1132" s="59" t="str">
        <f t="shared" si="52"/>
        <v>Valle</v>
      </c>
      <c r="D1132" s="59" t="str">
        <f t="shared" si="53"/>
        <v>Toro, Valle</v>
      </c>
      <c r="E1132" s="55">
        <v>76823</v>
      </c>
      <c r="F1132" s="56">
        <v>0.25</v>
      </c>
      <c r="G1132" s="56">
        <v>0.25</v>
      </c>
      <c r="H1132" s="56" t="s">
        <v>39</v>
      </c>
      <c r="I1132" s="56">
        <v>0.16</v>
      </c>
      <c r="J1132" s="57">
        <v>0.14000000000000001</v>
      </c>
    </row>
    <row r="1133" spans="1:10" ht="17.25" thickBot="1" x14ac:dyDescent="0.35">
      <c r="A1133" s="58" t="s">
        <v>1079</v>
      </c>
      <c r="B1133" s="59">
        <f t="shared" si="51"/>
        <v>0</v>
      </c>
      <c r="C1133" s="59" t="str">
        <f t="shared" si="52"/>
        <v>Valle</v>
      </c>
      <c r="D1133" s="59" t="str">
        <f t="shared" si="53"/>
        <v>Trujillo, Valle</v>
      </c>
      <c r="E1133" s="55">
        <v>76828</v>
      </c>
      <c r="F1133" s="56">
        <v>0.25</v>
      </c>
      <c r="G1133" s="56">
        <v>0.25</v>
      </c>
      <c r="H1133" s="56" t="s">
        <v>39</v>
      </c>
      <c r="I1133" s="56">
        <v>0.15</v>
      </c>
      <c r="J1133" s="57">
        <v>0.1</v>
      </c>
    </row>
    <row r="1134" spans="1:10" ht="17.25" thickBot="1" x14ac:dyDescent="0.35">
      <c r="A1134" s="58" t="s">
        <v>1080</v>
      </c>
      <c r="B1134" s="59">
        <f t="shared" si="51"/>
        <v>0</v>
      </c>
      <c r="C1134" s="59" t="str">
        <f t="shared" si="52"/>
        <v>Valle</v>
      </c>
      <c r="D1134" s="59" t="str">
        <f t="shared" si="53"/>
        <v>Tuluá, Valle</v>
      </c>
      <c r="E1134" s="55">
        <v>76834</v>
      </c>
      <c r="F1134" s="56">
        <v>0.25</v>
      </c>
      <c r="G1134" s="56">
        <v>0.2</v>
      </c>
      <c r="H1134" s="56" t="s">
        <v>39</v>
      </c>
      <c r="I1134" s="56">
        <v>0.12</v>
      </c>
      <c r="J1134" s="57">
        <v>7.0000000000000007E-2</v>
      </c>
    </row>
    <row r="1135" spans="1:10" ht="17.25" thickBot="1" x14ac:dyDescent="0.35">
      <c r="A1135" s="58" t="s">
        <v>1081</v>
      </c>
      <c r="B1135" s="59">
        <f t="shared" si="51"/>
        <v>0</v>
      </c>
      <c r="C1135" s="59" t="str">
        <f t="shared" si="52"/>
        <v>Valle</v>
      </c>
      <c r="D1135" s="59" t="str">
        <f t="shared" si="53"/>
        <v>Ulloa, Valle</v>
      </c>
      <c r="E1135" s="55">
        <v>76845</v>
      </c>
      <c r="F1135" s="56">
        <v>0.25</v>
      </c>
      <c r="G1135" s="56">
        <v>0.25</v>
      </c>
      <c r="H1135" s="56" t="s">
        <v>39</v>
      </c>
      <c r="I1135" s="56">
        <v>0.16</v>
      </c>
      <c r="J1135" s="57">
        <v>0.1</v>
      </c>
    </row>
    <row r="1136" spans="1:10" ht="17.25" thickBot="1" x14ac:dyDescent="0.35">
      <c r="A1136" s="58" t="s">
        <v>1082</v>
      </c>
      <c r="B1136" s="59">
        <f t="shared" si="51"/>
        <v>0</v>
      </c>
      <c r="C1136" s="59" t="str">
        <f t="shared" si="52"/>
        <v>Valle</v>
      </c>
      <c r="D1136" s="59" t="str">
        <f t="shared" si="53"/>
        <v>Versalles, Valle</v>
      </c>
      <c r="E1136" s="55">
        <v>76863</v>
      </c>
      <c r="F1136" s="56">
        <v>0.3</v>
      </c>
      <c r="G1136" s="56">
        <v>0.3</v>
      </c>
      <c r="H1136" s="56" t="s">
        <v>39</v>
      </c>
      <c r="I1136" s="56">
        <v>0.16</v>
      </c>
      <c r="J1136" s="57">
        <v>0.1</v>
      </c>
    </row>
    <row r="1137" spans="1:10" ht="17.25" thickBot="1" x14ac:dyDescent="0.35">
      <c r="A1137" s="58" t="s">
        <v>1083</v>
      </c>
      <c r="B1137" s="59">
        <f t="shared" si="51"/>
        <v>0</v>
      </c>
      <c r="C1137" s="59" t="str">
        <f t="shared" si="52"/>
        <v>Valle</v>
      </c>
      <c r="D1137" s="59" t="str">
        <f t="shared" si="53"/>
        <v>Vijes, Valle</v>
      </c>
      <c r="E1137" s="55">
        <v>76869</v>
      </c>
      <c r="F1137" s="56">
        <v>0.25</v>
      </c>
      <c r="G1137" s="56">
        <v>0.25</v>
      </c>
      <c r="H1137" s="56" t="s">
        <v>39</v>
      </c>
      <c r="I1137" s="56">
        <v>0.16</v>
      </c>
      <c r="J1137" s="57">
        <v>0.1</v>
      </c>
    </row>
    <row r="1138" spans="1:10" ht="17.25" thickBot="1" x14ac:dyDescent="0.35">
      <c r="A1138" s="58" t="s">
        <v>1084</v>
      </c>
      <c r="B1138" s="59">
        <f t="shared" si="51"/>
        <v>0</v>
      </c>
      <c r="C1138" s="59" t="str">
        <f t="shared" si="52"/>
        <v>Valle</v>
      </c>
      <c r="D1138" s="59" t="str">
        <f t="shared" si="53"/>
        <v>Yotocó, Valle</v>
      </c>
      <c r="E1138" s="55">
        <v>76890</v>
      </c>
      <c r="F1138" s="56">
        <v>0.25</v>
      </c>
      <c r="G1138" s="56">
        <v>0.25</v>
      </c>
      <c r="H1138" s="56" t="s">
        <v>39</v>
      </c>
      <c r="I1138" s="56">
        <v>0.16</v>
      </c>
      <c r="J1138" s="57">
        <v>0.1</v>
      </c>
    </row>
    <row r="1139" spans="1:10" ht="17.25" thickBot="1" x14ac:dyDescent="0.35">
      <c r="A1139" s="58" t="s">
        <v>1085</v>
      </c>
      <c r="B1139" s="59">
        <f t="shared" si="51"/>
        <v>0</v>
      </c>
      <c r="C1139" s="59" t="str">
        <f t="shared" si="52"/>
        <v>Valle</v>
      </c>
      <c r="D1139" s="59" t="str">
        <f t="shared" si="53"/>
        <v>Yumbo, Valle</v>
      </c>
      <c r="E1139" s="55">
        <v>76892</v>
      </c>
      <c r="F1139" s="56">
        <v>0.25</v>
      </c>
      <c r="G1139" s="56">
        <v>0.25</v>
      </c>
      <c r="H1139" s="56" t="s">
        <v>39</v>
      </c>
      <c r="I1139" s="56">
        <v>0.16</v>
      </c>
      <c r="J1139" s="57">
        <v>0.1</v>
      </c>
    </row>
    <row r="1140" spans="1:10" ht="17.25" thickBot="1" x14ac:dyDescent="0.35">
      <c r="A1140" s="58" t="s">
        <v>1086</v>
      </c>
      <c r="B1140" s="59">
        <f t="shared" si="51"/>
        <v>0</v>
      </c>
      <c r="C1140" s="59" t="str">
        <f t="shared" si="52"/>
        <v>Valle</v>
      </c>
      <c r="D1140" s="59" t="str">
        <f t="shared" si="53"/>
        <v>Zarzal, Valle</v>
      </c>
      <c r="E1140" s="55">
        <v>76895</v>
      </c>
      <c r="F1140" s="56">
        <v>0.25</v>
      </c>
      <c r="G1140" s="56">
        <v>0.25</v>
      </c>
      <c r="H1140" s="56" t="s">
        <v>39</v>
      </c>
      <c r="I1140" s="56">
        <v>0.14000000000000001</v>
      </c>
      <c r="J1140" s="57">
        <v>0.1</v>
      </c>
    </row>
    <row r="1141" spans="1:10" ht="17.25" thickBot="1" x14ac:dyDescent="0.35">
      <c r="A1141" s="43" t="s">
        <v>1087</v>
      </c>
      <c r="B1141" s="44">
        <f t="shared" si="51"/>
        <v>1</v>
      </c>
      <c r="C1141" s="44" t="str">
        <f t="shared" si="52"/>
        <v>Vaupés</v>
      </c>
      <c r="D1141" s="44" t="str">
        <f t="shared" si="53"/>
        <v/>
      </c>
      <c r="E1141" s="45"/>
      <c r="F1141" s="46"/>
      <c r="G1141" s="46"/>
      <c r="H1141" s="46"/>
      <c r="I1141" s="46"/>
      <c r="J1141" s="47"/>
    </row>
    <row r="1142" spans="1:10" ht="17.25" thickBot="1" x14ac:dyDescent="0.35">
      <c r="A1142" s="53" t="s">
        <v>1088</v>
      </c>
      <c r="B1142" s="54">
        <f t="shared" si="51"/>
        <v>0</v>
      </c>
      <c r="C1142" s="54" t="str">
        <f t="shared" si="52"/>
        <v>Vaupés</v>
      </c>
      <c r="D1142" s="54" t="str">
        <f t="shared" si="53"/>
        <v>Mitú, Vaupés</v>
      </c>
      <c r="E1142" s="55">
        <v>97001</v>
      </c>
      <c r="F1142" s="56">
        <v>0.05</v>
      </c>
      <c r="G1142" s="56">
        <v>0.05</v>
      </c>
      <c r="H1142" s="56" t="s">
        <v>11</v>
      </c>
      <c r="I1142" s="56">
        <v>0.04</v>
      </c>
      <c r="J1142" s="57">
        <v>0.02</v>
      </c>
    </row>
    <row r="1143" spans="1:10" ht="17.25" thickBot="1" x14ac:dyDescent="0.35">
      <c r="A1143" s="58" t="s">
        <v>1089</v>
      </c>
      <c r="B1143" s="59">
        <f t="shared" si="51"/>
        <v>0</v>
      </c>
      <c r="C1143" s="59" t="str">
        <f t="shared" si="52"/>
        <v>Vaupés</v>
      </c>
      <c r="D1143" s="59" t="str">
        <f t="shared" si="53"/>
        <v>Carurú, Vaupés</v>
      </c>
      <c r="E1143" s="55">
        <v>97161</v>
      </c>
      <c r="F1143" s="56">
        <v>0.05</v>
      </c>
      <c r="G1143" s="56">
        <v>0.05</v>
      </c>
      <c r="H1143" s="56" t="s">
        <v>11</v>
      </c>
      <c r="I1143" s="56">
        <v>0.04</v>
      </c>
      <c r="J1143" s="57">
        <v>0.02</v>
      </c>
    </row>
    <row r="1144" spans="1:10" ht="17.25" thickBot="1" x14ac:dyDescent="0.35">
      <c r="A1144" s="58" t="s">
        <v>1090</v>
      </c>
      <c r="B1144" s="59">
        <f t="shared" si="51"/>
        <v>0</v>
      </c>
      <c r="C1144" s="59" t="str">
        <f t="shared" si="52"/>
        <v>Vaupés</v>
      </c>
      <c r="D1144" s="59" t="str">
        <f t="shared" si="53"/>
        <v>Pacoa, Vaupés</v>
      </c>
      <c r="E1144" s="55">
        <v>97511</v>
      </c>
      <c r="F1144" s="56">
        <v>0.05</v>
      </c>
      <c r="G1144" s="56">
        <v>0.05</v>
      </c>
      <c r="H1144" s="56" t="s">
        <v>11</v>
      </c>
      <c r="I1144" s="56">
        <v>0.04</v>
      </c>
      <c r="J1144" s="57">
        <v>0.02</v>
      </c>
    </row>
    <row r="1145" spans="1:10" ht="17.25" thickBot="1" x14ac:dyDescent="0.35">
      <c r="A1145" s="58" t="s">
        <v>1091</v>
      </c>
      <c r="B1145" s="59">
        <f t="shared" si="51"/>
        <v>0</v>
      </c>
      <c r="C1145" s="59" t="str">
        <f t="shared" si="52"/>
        <v>Vaupés</v>
      </c>
      <c r="D1145" s="59" t="str">
        <f t="shared" si="53"/>
        <v>Papunahua, Vaupés</v>
      </c>
      <c r="E1145" s="55">
        <v>97777</v>
      </c>
      <c r="F1145" s="56">
        <v>0.05</v>
      </c>
      <c r="G1145" s="56">
        <v>0.05</v>
      </c>
      <c r="H1145" s="56" t="s">
        <v>11</v>
      </c>
      <c r="I1145" s="56">
        <v>0.04</v>
      </c>
      <c r="J1145" s="57">
        <v>0.02</v>
      </c>
    </row>
    <row r="1146" spans="1:10" ht="17.25" thickBot="1" x14ac:dyDescent="0.35">
      <c r="A1146" s="58" t="s">
        <v>1092</v>
      </c>
      <c r="B1146" s="59">
        <f t="shared" si="51"/>
        <v>0</v>
      </c>
      <c r="C1146" s="59" t="str">
        <f t="shared" si="52"/>
        <v>Vaupés</v>
      </c>
      <c r="D1146" s="59" t="str">
        <f t="shared" si="53"/>
        <v>Taraira, Vaupés</v>
      </c>
      <c r="E1146" s="55">
        <v>97666</v>
      </c>
      <c r="F1146" s="56">
        <v>0.05</v>
      </c>
      <c r="G1146" s="56">
        <v>0.05</v>
      </c>
      <c r="H1146" s="56" t="s">
        <v>11</v>
      </c>
      <c r="I1146" s="56">
        <v>0.04</v>
      </c>
      <c r="J1146" s="57">
        <v>0.02</v>
      </c>
    </row>
    <row r="1147" spans="1:10" ht="17.25" thickBot="1" x14ac:dyDescent="0.35">
      <c r="A1147" s="58" t="s">
        <v>1093</v>
      </c>
      <c r="B1147" s="59">
        <f t="shared" si="51"/>
        <v>0</v>
      </c>
      <c r="C1147" s="59" t="str">
        <f t="shared" si="52"/>
        <v>Vaupés</v>
      </c>
      <c r="D1147" s="59" t="str">
        <f t="shared" si="53"/>
        <v>Yavarate, Vaupés</v>
      </c>
      <c r="E1147" s="55">
        <v>97889</v>
      </c>
      <c r="F1147" s="56">
        <v>0.05</v>
      </c>
      <c r="G1147" s="56">
        <v>0.05</v>
      </c>
      <c r="H1147" s="56" t="s">
        <v>11</v>
      </c>
      <c r="I1147" s="56">
        <v>0.04</v>
      </c>
      <c r="J1147" s="57">
        <v>0.02</v>
      </c>
    </row>
    <row r="1148" spans="1:10" ht="17.25" thickBot="1" x14ac:dyDescent="0.35">
      <c r="A1148" s="43" t="s">
        <v>1094</v>
      </c>
      <c r="B1148" s="44">
        <f t="shared" si="51"/>
        <v>1</v>
      </c>
      <c r="C1148" s="44" t="str">
        <f t="shared" si="52"/>
        <v>Vichada</v>
      </c>
      <c r="D1148" s="44" t="str">
        <f t="shared" si="53"/>
        <v/>
      </c>
      <c r="E1148" s="45"/>
      <c r="F1148" s="46"/>
      <c r="G1148" s="46"/>
      <c r="H1148" s="46"/>
      <c r="I1148" s="46"/>
      <c r="J1148" s="47"/>
    </row>
    <row r="1149" spans="1:10" ht="17.25" thickBot="1" x14ac:dyDescent="0.35">
      <c r="A1149" s="53" t="s">
        <v>1095</v>
      </c>
      <c r="B1149" s="54">
        <f t="shared" si="51"/>
        <v>0</v>
      </c>
      <c r="C1149" s="54" t="str">
        <f t="shared" si="52"/>
        <v>Vichada</v>
      </c>
      <c r="D1149" s="54" t="str">
        <f t="shared" si="53"/>
        <v>Puerto Carreño, Vichada</v>
      </c>
      <c r="E1149" s="55">
        <v>99001</v>
      </c>
      <c r="F1149" s="56">
        <v>0.05</v>
      </c>
      <c r="G1149" s="56">
        <v>0.05</v>
      </c>
      <c r="H1149" s="56" t="s">
        <v>11</v>
      </c>
      <c r="I1149" s="56">
        <v>0.04</v>
      </c>
      <c r="J1149" s="57">
        <v>0.02</v>
      </c>
    </row>
    <row r="1150" spans="1:10" ht="17.25" thickBot="1" x14ac:dyDescent="0.35">
      <c r="A1150" s="58" t="s">
        <v>1096</v>
      </c>
      <c r="B1150" s="59">
        <f t="shared" si="51"/>
        <v>0</v>
      </c>
      <c r="C1150" s="59" t="str">
        <f t="shared" si="52"/>
        <v>Vichada</v>
      </c>
      <c r="D1150" s="59" t="str">
        <f t="shared" si="53"/>
        <v>Cumaribo, Vichada</v>
      </c>
      <c r="E1150" s="55">
        <v>99773</v>
      </c>
      <c r="F1150" s="56">
        <v>0.05</v>
      </c>
      <c r="G1150" s="56">
        <v>0.05</v>
      </c>
      <c r="H1150" s="56" t="s">
        <v>11</v>
      </c>
      <c r="I1150" s="56">
        <v>0.04</v>
      </c>
      <c r="J1150" s="57">
        <v>0.02</v>
      </c>
    </row>
    <row r="1151" spans="1:10" ht="17.25" thickBot="1" x14ac:dyDescent="0.35">
      <c r="A1151" s="58" t="s">
        <v>1097</v>
      </c>
      <c r="B1151" s="59">
        <f t="shared" si="51"/>
        <v>0</v>
      </c>
      <c r="C1151" s="59" t="str">
        <f t="shared" si="52"/>
        <v>Vichada</v>
      </c>
      <c r="D1151" s="59" t="str">
        <f t="shared" si="53"/>
        <v>La Primavera, Vichada</v>
      </c>
      <c r="E1151" s="55">
        <v>99524</v>
      </c>
      <c r="F1151" s="56">
        <v>0.05</v>
      </c>
      <c r="G1151" s="56">
        <v>0.05</v>
      </c>
      <c r="H1151" s="56" t="s">
        <v>11</v>
      </c>
      <c r="I1151" s="56">
        <v>0.04</v>
      </c>
      <c r="J1151" s="57">
        <v>0.02</v>
      </c>
    </row>
    <row r="1152" spans="1:10" ht="17.25" thickBot="1" x14ac:dyDescent="0.35">
      <c r="A1152" s="60" t="s">
        <v>1098</v>
      </c>
      <c r="B1152" s="61">
        <f t="shared" si="51"/>
        <v>0</v>
      </c>
      <c r="C1152" s="61" t="str">
        <f t="shared" si="52"/>
        <v>Vichada</v>
      </c>
      <c r="D1152" s="61" t="str">
        <f t="shared" si="53"/>
        <v>Santa Rosalía, Vichada</v>
      </c>
      <c r="E1152" s="62">
        <v>99624</v>
      </c>
      <c r="F1152" s="63">
        <v>0.05</v>
      </c>
      <c r="G1152" s="63">
        <v>0.05</v>
      </c>
      <c r="H1152" s="63" t="s">
        <v>11</v>
      </c>
      <c r="I1152" s="63">
        <v>0.04</v>
      </c>
      <c r="J1152" s="64">
        <v>0.02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34</vt:i4>
      </vt:variant>
    </vt:vector>
  </HeadingPairs>
  <TitlesOfParts>
    <vt:vector size="35" baseType="lpstr">
      <vt:lpstr>BD_Municipios</vt:lpstr>
      <vt:lpstr>Amazonas</vt:lpstr>
      <vt:lpstr>Antioquia</vt:lpstr>
      <vt:lpstr>Arauca</vt:lpstr>
      <vt:lpstr>Atlántico</vt:lpstr>
      <vt:lpstr>Bolívar</vt:lpstr>
      <vt:lpstr>Boyacá</vt:lpstr>
      <vt:lpstr>Caldas</vt:lpstr>
      <vt:lpstr>Caquetá</vt:lpstr>
      <vt:lpstr>Casanare</vt:lpstr>
      <vt:lpstr>Cauca</vt:lpstr>
      <vt:lpstr>Cesar</vt:lpstr>
      <vt:lpstr>Chocó</vt:lpstr>
      <vt:lpstr>Córdoba</vt:lpstr>
      <vt:lpstr>Cundinamarca</vt:lpstr>
      <vt:lpstr>Departamento</vt:lpstr>
      <vt:lpstr>Distrito</vt:lpstr>
      <vt:lpstr>Guainía</vt:lpstr>
      <vt:lpstr>Guaviare</vt:lpstr>
      <vt:lpstr>Huila</vt:lpstr>
      <vt:lpstr>La_Guajira</vt:lpstr>
      <vt:lpstr>Magdalena</vt:lpstr>
      <vt:lpstr>Meta</vt:lpstr>
      <vt:lpstr>Nariño</vt:lpstr>
      <vt:lpstr>Norte_De_Santander</vt:lpstr>
      <vt:lpstr>Putumayo</vt:lpstr>
      <vt:lpstr>Quindío</vt:lpstr>
      <vt:lpstr>Risaralda</vt:lpstr>
      <vt:lpstr>San_Andrés</vt:lpstr>
      <vt:lpstr>Santander</vt:lpstr>
      <vt:lpstr>Sucre</vt:lpstr>
      <vt:lpstr>Tolima</vt:lpstr>
      <vt:lpstr>Valle</vt:lpstr>
      <vt:lpstr>Vaupés</vt:lpstr>
      <vt:lpstr>Vichada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MAURICIO QUINTERO SUAREZ</dc:creator>
  <cp:lastModifiedBy>CARLOS MAURICIO QUINTERO SUAREZ</cp:lastModifiedBy>
  <dcterms:created xsi:type="dcterms:W3CDTF">2026-08-31T20:38:16Z</dcterms:created>
  <dcterms:modified xsi:type="dcterms:W3CDTF">2026-09-06T01:29:28Z</dcterms:modified>
</cp:coreProperties>
</file>